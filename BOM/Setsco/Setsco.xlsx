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/Alitec/Bom/BOM/Setsco/"/>
    </mc:Choice>
  </mc:AlternateContent>
  <xr:revisionPtr revIDLastSave="0" documentId="13_ncr:1_{B43CDB5D-E511-144E-ADF8-A1826E9AF59A}" xr6:coauthVersionLast="47" xr6:coauthVersionMax="47" xr10:uidLastSave="{00000000-0000-0000-0000-000000000000}"/>
  <bookViews>
    <workbookView xWindow="-51200" yWindow="-7040" windowWidth="25620" windowHeight="28180" tabRatio="759" firstSheet="2" activeTab="8" xr2:uid="{00000000-000D-0000-FFFF-FFFF00000000}"/>
  </bookViews>
  <sheets>
    <sheet name="ABC - 03071600" sheetId="1" r:id="rId1"/>
    <sheet name="CO2 - 03071603" sheetId="4" r:id="rId2"/>
    <sheet name="Water - 03071604" sheetId="2" r:id="rId3"/>
    <sheet name="Halotron - 03071605" sheetId="3" r:id="rId4"/>
    <sheet name="TUV Brx - 03071601" sheetId="7" r:id="rId5"/>
    <sheet name="TUV WM - 03071602" sheetId="8" r:id="rId6"/>
    <sheet name="TUV Lithium - 03071606" sheetId="9" r:id="rId7"/>
    <sheet name="HR - 03071700" sheetId="5" r:id="rId8"/>
    <sheet name="FH - 0307200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6" l="1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15" i="6"/>
  <c r="F14" i="6"/>
  <c r="G14" i="6" s="1"/>
  <c r="G15" i="6" s="1"/>
  <c r="F60" i="5"/>
  <c r="F59" i="5"/>
  <c r="F58" i="5"/>
  <c r="F57" i="5"/>
  <c r="F56" i="5"/>
  <c r="F55" i="5"/>
  <c r="F54" i="5"/>
  <c r="G16" i="6" l="1"/>
  <c r="G17" i="6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I29" i="6" s="1"/>
  <c r="F35" i="3"/>
  <c r="F34" i="3"/>
  <c r="F33" i="3"/>
  <c r="F32" i="3"/>
  <c r="F31" i="3"/>
  <c r="F30" i="3"/>
  <c r="G30" i="3" s="1"/>
  <c r="G32" i="2"/>
  <c r="H32" i="2" s="1"/>
  <c r="K32" i="2" s="1"/>
  <c r="F26" i="3"/>
  <c r="F27" i="3"/>
  <c r="F28" i="3"/>
  <c r="F25" i="3"/>
  <c r="F24" i="3"/>
  <c r="G24" i="3" s="1"/>
  <c r="G31" i="3" l="1"/>
  <c r="G32" i="3" s="1"/>
  <c r="G33" i="3" s="1"/>
  <c r="G34" i="3" s="1"/>
  <c r="G35" i="3" s="1"/>
  <c r="I35" i="3" s="1"/>
  <c r="G25" i="3"/>
  <c r="G26" i="3"/>
  <c r="G27" i="3" s="1"/>
  <c r="G28" i="3" s="1"/>
  <c r="I28" i="3" s="1"/>
  <c r="G59" i="1"/>
  <c r="G58" i="1"/>
  <c r="G57" i="1"/>
  <c r="G56" i="1"/>
  <c r="H56" i="1" s="1"/>
  <c r="H57" i="1" s="1"/>
  <c r="H58" i="1" s="1"/>
  <c r="H59" i="1" s="1"/>
  <c r="J59" i="1" s="1"/>
  <c r="G17" i="9"/>
  <c r="J17" i="9" s="1"/>
  <c r="F17" i="9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16" i="2"/>
  <c r="H15" i="2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J30" i="2" s="1"/>
  <c r="G15" i="2"/>
  <c r="G23" i="8" l="1"/>
  <c r="G22" i="8"/>
  <c r="H22" i="8" s="1"/>
  <c r="H23" i="8" s="1"/>
  <c r="J23" i="8" s="1"/>
  <c r="G113" i="1"/>
  <c r="G112" i="1"/>
  <c r="H112" i="1" s="1"/>
  <c r="H113" i="1" s="1"/>
  <c r="J113" i="1" s="1"/>
  <c r="K24" i="7"/>
  <c r="G24" i="7"/>
  <c r="H24" i="7" s="1"/>
  <c r="G22" i="7"/>
  <c r="G21" i="7"/>
  <c r="G20" i="7"/>
  <c r="H20" i="7" s="1"/>
  <c r="H21" i="7" s="1"/>
  <c r="G13" i="2"/>
  <c r="H13" i="2" s="1"/>
  <c r="K13" i="2" s="1"/>
  <c r="G51" i="1"/>
  <c r="H51" i="1" s="1"/>
  <c r="K51" i="1" s="1"/>
  <c r="J30" i="4"/>
  <c r="G29" i="4"/>
  <c r="H29" i="4" s="1"/>
  <c r="G25" i="4"/>
  <c r="G24" i="4"/>
  <c r="H24" i="4" s="1"/>
  <c r="H25" i="4" s="1"/>
  <c r="J25" i="4" s="1"/>
  <c r="G22" i="4"/>
  <c r="H22" i="4" s="1"/>
  <c r="J23" i="4" s="1"/>
  <c r="G20" i="8"/>
  <c r="G19" i="8"/>
  <c r="H19" i="8" s="1"/>
  <c r="G82" i="1"/>
  <c r="G81" i="1"/>
  <c r="H81" i="1" s="1"/>
  <c r="H82" i="1" s="1"/>
  <c r="J82" i="1" s="1"/>
  <c r="G80" i="1"/>
  <c r="F22" i="3"/>
  <c r="F21" i="3"/>
  <c r="G21" i="3" s="1"/>
  <c r="G95" i="1"/>
  <c r="G94" i="1"/>
  <c r="G93" i="1"/>
  <c r="G92" i="1"/>
  <c r="G9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H99" i="1" s="1"/>
  <c r="G90" i="1"/>
  <c r="G89" i="1"/>
  <c r="G88" i="1"/>
  <c r="G87" i="1"/>
  <c r="G86" i="1"/>
  <c r="G85" i="1"/>
  <c r="H85" i="1" s="1"/>
  <c r="G66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5" i="1"/>
  <c r="G64" i="1"/>
  <c r="G63" i="1"/>
  <c r="G62" i="1"/>
  <c r="H62" i="1" s="1"/>
  <c r="G54" i="1"/>
  <c r="H54" i="1" s="1"/>
  <c r="K54" i="1" s="1"/>
  <c r="G49" i="1"/>
  <c r="G48" i="1"/>
  <c r="G47" i="1"/>
  <c r="H47" i="1" s="1"/>
  <c r="G28" i="1"/>
  <c r="G20" i="1"/>
  <c r="G24" i="1"/>
  <c r="G34" i="1"/>
  <c r="H34" i="1" s="1"/>
  <c r="J34" i="1" s="1"/>
  <c r="G31" i="1"/>
  <c r="H31" i="1" s="1"/>
  <c r="G27" i="1"/>
  <c r="H27" i="1" s="1"/>
  <c r="H28" i="1" s="1"/>
  <c r="J27" i="1" s="1"/>
  <c r="G23" i="1"/>
  <c r="H23" i="1" s="1"/>
  <c r="G19" i="1"/>
  <c r="H19" i="1" s="1"/>
  <c r="G16" i="1"/>
  <c r="H16" i="1" s="1"/>
  <c r="J16" i="1" s="1"/>
  <c r="E2" i="1"/>
  <c r="G12" i="1"/>
  <c r="G11" i="1"/>
  <c r="G10" i="1"/>
  <c r="G9" i="1"/>
  <c r="G8" i="1"/>
  <c r="G7" i="1"/>
  <c r="G6" i="1"/>
  <c r="G5" i="1"/>
  <c r="H5" i="1" s="1"/>
  <c r="E5" i="5"/>
  <c r="D5" i="5"/>
  <c r="F26" i="5"/>
  <c r="F25" i="5"/>
  <c r="F27" i="5"/>
  <c r="F28" i="5"/>
  <c r="F24" i="5"/>
  <c r="F23" i="5"/>
  <c r="F22" i="5"/>
  <c r="F21" i="5"/>
  <c r="F20" i="5"/>
  <c r="F19" i="5"/>
  <c r="F18" i="5"/>
  <c r="F17" i="5"/>
  <c r="F16" i="5"/>
  <c r="G16" i="5" s="1"/>
  <c r="G17" i="5" s="1"/>
  <c r="G18" i="5" s="1"/>
  <c r="F12" i="5"/>
  <c r="F11" i="5"/>
  <c r="F9" i="5"/>
  <c r="G10" i="2"/>
  <c r="G9" i="2"/>
  <c r="G8" i="2"/>
  <c r="H8" i="2" s="1"/>
  <c r="H2" i="2"/>
  <c r="H20" i="8" l="1"/>
  <c r="J20" i="8" s="1"/>
  <c r="G22" i="3"/>
  <c r="I22" i="3" s="1"/>
  <c r="H22" i="7"/>
  <c r="J22" i="7" s="1"/>
  <c r="H24" i="1"/>
  <c r="J23" i="1" s="1"/>
  <c r="G19" i="5"/>
  <c r="G20" i="5" s="1"/>
  <c r="G21" i="5" s="1"/>
  <c r="G22" i="5" s="1"/>
  <c r="G23" i="5" s="1"/>
  <c r="G24" i="5" s="1"/>
  <c r="G25" i="5" s="1"/>
  <c r="G26" i="5" s="1"/>
  <c r="G27" i="5" s="1"/>
  <c r="G28" i="5" s="1"/>
  <c r="I28" i="5" s="1"/>
  <c r="H20" i="1"/>
  <c r="J19" i="1" s="1"/>
  <c r="K34" i="1" s="1"/>
  <c r="H48" i="1"/>
  <c r="H49" i="1" s="1"/>
  <c r="J49" i="1" s="1"/>
  <c r="H63" i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J79" i="1" s="1"/>
  <c r="H86" i="1"/>
  <c r="H87" i="1" s="1"/>
  <c r="H88" i="1" s="1"/>
  <c r="H89" i="1" s="1"/>
  <c r="H90" i="1" s="1"/>
  <c r="H91" i="1" s="1"/>
  <c r="H92" i="1" s="1"/>
  <c r="H93" i="1" s="1"/>
  <c r="H94" i="1" s="1"/>
  <c r="H95" i="1" s="1"/>
  <c r="J95" i="1" s="1"/>
  <c r="H100" i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J110" i="1" s="1"/>
  <c r="H6" i="1"/>
  <c r="H7" i="1" s="1"/>
  <c r="H8" i="1" s="1"/>
  <c r="H9" i="1" s="1"/>
  <c r="H10" i="1" s="1"/>
  <c r="H11" i="1" s="1"/>
  <c r="H12" i="1" s="1"/>
  <c r="I12" i="1" s="1"/>
  <c r="H9" i="2" l="1"/>
  <c r="H10" i="2" s="1"/>
  <c r="J10" i="2" s="1"/>
  <c r="H2" i="1" l="1"/>
  <c r="G43" i="1" l="1"/>
  <c r="G42" i="1"/>
  <c r="G41" i="1"/>
  <c r="G40" i="1"/>
  <c r="G39" i="1"/>
  <c r="G38" i="1"/>
  <c r="H38" i="1" s="1"/>
  <c r="F46" i="5"/>
  <c r="F47" i="5"/>
  <c r="F48" i="5"/>
  <c r="F49" i="5"/>
  <c r="F50" i="5"/>
  <c r="F51" i="5"/>
  <c r="F52" i="5"/>
  <c r="F53" i="5"/>
  <c r="F37" i="5"/>
  <c r="F38" i="5"/>
  <c r="F39" i="5"/>
  <c r="F40" i="5"/>
  <c r="F41" i="5"/>
  <c r="F42" i="5"/>
  <c r="F43" i="5"/>
  <c r="F44" i="5"/>
  <c r="F45" i="5"/>
  <c r="F36" i="5"/>
  <c r="F35" i="5"/>
  <c r="F34" i="5"/>
  <c r="F33" i="5"/>
  <c r="F32" i="5"/>
  <c r="G32" i="5" s="1"/>
  <c r="F11" i="6"/>
  <c r="G11" i="6" s="1"/>
  <c r="G11" i="9"/>
  <c r="G12" i="9" s="1"/>
  <c r="G13" i="9" s="1"/>
  <c r="G14" i="9" s="1"/>
  <c r="F8" i="9"/>
  <c r="F7" i="9"/>
  <c r="F6" i="9"/>
  <c r="F5" i="9"/>
  <c r="G2" i="9"/>
  <c r="H9" i="7"/>
  <c r="H10" i="7" s="1"/>
  <c r="H11" i="7" s="1"/>
  <c r="H12" i="7" s="1"/>
  <c r="H13" i="7" s="1"/>
  <c r="H14" i="7" s="1"/>
  <c r="H15" i="7" s="1"/>
  <c r="H16" i="7" s="1"/>
  <c r="H17" i="7" s="1"/>
  <c r="G6" i="7"/>
  <c r="G5" i="7"/>
  <c r="H2" i="7"/>
  <c r="F8" i="6"/>
  <c r="F7" i="6"/>
  <c r="F6" i="6"/>
  <c r="G2" i="6"/>
  <c r="F10" i="5"/>
  <c r="F8" i="5"/>
  <c r="G9" i="5" s="1"/>
  <c r="H8" i="8"/>
  <c r="H9" i="8" s="1"/>
  <c r="H10" i="8" s="1"/>
  <c r="H11" i="8" s="1"/>
  <c r="H12" i="8" s="1"/>
  <c r="H13" i="8" s="1"/>
  <c r="H14" i="8" s="1"/>
  <c r="H15" i="8" s="1"/>
  <c r="H16" i="8" s="1"/>
  <c r="H2" i="8"/>
  <c r="G10" i="3"/>
  <c r="G11" i="3" s="1"/>
  <c r="G12" i="3" s="1"/>
  <c r="G13" i="3" s="1"/>
  <c r="G14" i="3" s="1"/>
  <c r="G15" i="3" s="1"/>
  <c r="G16" i="3" s="1"/>
  <c r="G17" i="3" s="1"/>
  <c r="G18" i="3" s="1"/>
  <c r="F7" i="3"/>
  <c r="F6" i="3"/>
  <c r="F5" i="3"/>
  <c r="G2" i="3"/>
  <c r="G5" i="2"/>
  <c r="H5" i="2" s="1"/>
  <c r="G5" i="4"/>
  <c r="H5" i="4" s="1"/>
  <c r="H2" i="4"/>
  <c r="G33" i="5" l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6" i="9"/>
  <c r="G7" i="9" s="1"/>
  <c r="G8" i="9" s="1"/>
  <c r="H39" i="1"/>
  <c r="H40" i="1" s="1"/>
  <c r="H41" i="1" s="1"/>
  <c r="H42" i="1" s="1"/>
  <c r="H43" i="1" s="1"/>
  <c r="J43" i="1" s="1"/>
  <c r="G6" i="3"/>
  <c r="G7" i="3" s="1"/>
  <c r="G7" i="6"/>
  <c r="G8" i="6" s="1"/>
  <c r="H6" i="7"/>
  <c r="G10" i="5"/>
  <c r="G11" i="5" s="1"/>
  <c r="G12" i="5" s="1"/>
  <c r="H12" i="5" s="1"/>
  <c r="G52" i="5" l="1"/>
  <c r="G53" i="5" s="1"/>
  <c r="G54" i="5" s="1"/>
  <c r="G55" i="5" s="1"/>
  <c r="G56" i="5" s="1"/>
  <c r="G57" i="5" s="1"/>
  <c r="G58" i="5" s="1"/>
  <c r="G59" i="5" s="1"/>
  <c r="G60" i="5" s="1"/>
  <c r="I60" i="5" s="1"/>
</calcChain>
</file>

<file path=xl/sharedStrings.xml><?xml version="1.0" encoding="utf-8"?>
<sst xmlns="http://schemas.openxmlformats.org/spreadsheetml/2006/main" count="920" uniqueCount="62">
  <si>
    <t>Total</t>
  </si>
  <si>
    <t>Office</t>
  </si>
  <si>
    <t>Prod</t>
  </si>
  <si>
    <t>Date</t>
  </si>
  <si>
    <t>25.10.25</t>
  </si>
  <si>
    <t>A</t>
  </si>
  <si>
    <t>Batch</t>
  </si>
  <si>
    <t>Location</t>
  </si>
  <si>
    <t>Start</t>
  </si>
  <si>
    <t>End</t>
  </si>
  <si>
    <t>Qty</t>
  </si>
  <si>
    <t>Production</t>
  </si>
  <si>
    <t>PWO</t>
  </si>
  <si>
    <t>Warehouse</t>
  </si>
  <si>
    <t>Store</t>
  </si>
  <si>
    <t>Size</t>
  </si>
  <si>
    <t>FEX_ZAA</t>
  </si>
  <si>
    <t xml:space="preserve"> </t>
  </si>
  <si>
    <t>A01C5</t>
  </si>
  <si>
    <t>in system</t>
  </si>
  <si>
    <t>A02C2</t>
  </si>
  <si>
    <t>A01C4</t>
  </si>
  <si>
    <t>A25C1</t>
  </si>
  <si>
    <t>Com</t>
  </si>
  <si>
    <t>A25C2</t>
  </si>
  <si>
    <t>A27C1</t>
  </si>
  <si>
    <t>A26C5</t>
  </si>
  <si>
    <t>diff</t>
  </si>
  <si>
    <t>Sys</t>
  </si>
  <si>
    <t>PWO25-11-00081</t>
  </si>
  <si>
    <t>HDB</t>
  </si>
  <si>
    <t>20.12.25</t>
  </si>
  <si>
    <t xml:space="preserve"> PWO25-12-00074</t>
  </si>
  <si>
    <t>9L</t>
  </si>
  <si>
    <t>SYSTEM</t>
  </si>
  <si>
    <t>System</t>
  </si>
  <si>
    <t>PWO25-02-00117</t>
  </si>
  <si>
    <t xml:space="preserve"> PWO25-12-00024</t>
  </si>
  <si>
    <t>Dff</t>
  </si>
  <si>
    <t>Diff</t>
  </si>
  <si>
    <t>3L</t>
  </si>
  <si>
    <t>A02C3</t>
  </si>
  <si>
    <t>6L</t>
  </si>
  <si>
    <t>PWO25-11-00158</t>
  </si>
  <si>
    <t>PWO25-12-00073</t>
  </si>
  <si>
    <t>SYS</t>
  </si>
  <si>
    <t>PWO25-12-00084</t>
  </si>
  <si>
    <t>A02C1</t>
  </si>
  <si>
    <t>PWO25-12-00071</t>
  </si>
  <si>
    <t>PWO25-12-00048</t>
  </si>
  <si>
    <t>PWO25-11-00115</t>
  </si>
  <si>
    <t>Dif</t>
  </si>
  <si>
    <t>metal skirt</t>
  </si>
  <si>
    <t>A01C2L2</t>
  </si>
  <si>
    <t>A01C0</t>
  </si>
  <si>
    <t>A01C3L1</t>
  </si>
  <si>
    <t>sys</t>
  </si>
  <si>
    <t>A26C1</t>
  </si>
  <si>
    <t>A03C2L1</t>
  </si>
  <si>
    <t>B12C1L1</t>
  </si>
  <si>
    <t>8080009918001</t>
  </si>
  <si>
    <t>9070010000000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</si>
</sst>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6" borderId="0" xfId="0" applyFill="1"/>
    <xf numFmtId="0" fontId="0" fillId="0" borderId="1" xfId="0" quotePrefix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7" borderId="0" xfId="0" applyFill="1"/>
    <xf numFmtId="0" fontId="0" fillId="0" borderId="4" xfId="0" applyBorder="1"/>
    <xf numFmtId="0" fontId="0" fillId="8" borderId="0" xfId="0" applyFill="1"/>
    <xf numFmtId="0" fontId="0" fillId="8" borderId="1" xfId="0" applyFill="1" applyBorder="1"/>
    <xf numFmtId="0" fontId="0" fillId="2" borderId="5" xfId="0" applyFill="1" applyBorder="1" applyAlignment="1">
      <alignment horizontal="center" vertical="center"/>
    </xf>
    <xf numFmtId="1" fontId="0" fillId="0" borderId="0" xfId="0" quotePrefix="1" applyNumberFormat="1" applyAlignment="1">
      <alignment horizontal="center"/>
    </xf>
    <xf numFmtId="0" fontId="0" fillId="9" borderId="1" xfId="0" applyFill="1" applyBorder="1" applyAlignment="1">
      <alignment horizontal="center"/>
    </xf>
    <xf numFmtId="1" fontId="0" fillId="9" borderId="1" xfId="0" quotePrefix="1" applyNumberFormat="1" applyFill="1" applyBorder="1" applyAlignment="1">
      <alignment horizontal="center"/>
    </xf>
    <xf numFmtId="0" fontId="0" fillId="9" borderId="1" xfId="0" applyFill="1" applyBorder="1"/>
    <xf numFmtId="1" fontId="0" fillId="3" borderId="1" xfId="0" quotePrefix="1" applyNumberFormat="1" applyFill="1" applyBorder="1" applyAlignment="1">
      <alignment horizontal="center"/>
    </xf>
    <xf numFmtId="1" fontId="0" fillId="0" borderId="4" xfId="0" quotePrefix="1" applyNumberFormat="1" applyBorder="1" applyAlignment="1">
      <alignment horizontal="center"/>
    </xf>
    <xf numFmtId="0" fontId="0" fillId="10" borderId="1" xfId="0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0" fontId="0" fillId="10" borderId="1" xfId="0" applyFill="1" applyBorder="1"/>
    <xf numFmtId="1" fontId="0" fillId="0" borderId="1" xfId="0" applyNumberFormat="1" applyBorder="1"/>
    <xf numFmtId="1" fontId="0" fillId="3" borderId="1" xfId="0" applyNumberFormat="1" applyFill="1" applyBorder="1"/>
    <xf numFmtId="1" fontId="0" fillId="0" borderId="1" xfId="0" quotePrefix="1" applyNumberFormat="1" applyBorder="1"/>
    <xf numFmtId="1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/>
    <xf numFmtId="0" fontId="0" fillId="0" borderId="1" xfId="0" applyBorder="1" applyAlignment="1">
      <alignment horizontal="left"/>
    </xf>
    <xf numFmtId="0" fontId="0" fillId="5" borderId="6" xfId="0" applyFill="1" applyBorder="1"/>
    <xf numFmtId="0" fontId="1" fillId="0" borderId="1" xfId="0" applyFont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3"/>
  <sheetViews>
    <sheetView topLeftCell="A76" zoomScale="150" workbookViewId="0">
      <selection activeCell="J3" sqref="J3"/>
    </sheetView>
  </sheetViews>
  <sheetFormatPr baseColWidth="10" defaultColWidth="8.83203125" defaultRowHeight="15" x14ac:dyDescent="0.2"/>
  <cols>
    <col min="1" max="1" width="11.1640625" customWidth="1"/>
    <col min="2" max="2" width="19.5" customWidth="1"/>
    <col min="3" max="3" width="5.5" customWidth="1"/>
    <col min="4" max="4" width="3.5" customWidth="1"/>
    <col min="9" max="9" width="18.33203125" customWidth="1"/>
    <col min="10" max="10" width="11.6640625" customWidth="1"/>
    <col min="11" max="11" width="16" bestFit="1" customWidth="1"/>
  </cols>
  <sheetData>
    <row r="1" spans="1:11" x14ac:dyDescent="0.2">
      <c r="A1" s="2"/>
      <c r="B1" s="2"/>
      <c r="C1" s="2"/>
      <c r="D1" s="2"/>
      <c r="E1" s="5" t="s">
        <v>1</v>
      </c>
      <c r="F1" s="5" t="s">
        <v>2</v>
      </c>
      <c r="G1" s="5" t="s">
        <v>14</v>
      </c>
      <c r="H1" s="5" t="s">
        <v>0</v>
      </c>
      <c r="I1" s="5" t="s">
        <v>3</v>
      </c>
    </row>
    <row r="2" spans="1:11" x14ac:dyDescent="0.2">
      <c r="A2" s="2"/>
      <c r="B2" s="2"/>
      <c r="C2" s="2"/>
      <c r="D2" s="2"/>
      <c r="E2" s="3">
        <f>I5</f>
        <v>5799</v>
      </c>
      <c r="F2" s="3">
        <v>3335</v>
      </c>
      <c r="G2" s="1"/>
      <c r="H2" s="1">
        <f>E2+F2+G2</f>
        <v>9134</v>
      </c>
      <c r="I2" s="3" t="s">
        <v>31</v>
      </c>
      <c r="J2">
        <v>78</v>
      </c>
    </row>
    <row r="3" spans="1:11" x14ac:dyDescent="0.2">
      <c r="A3" s="2"/>
      <c r="B3" s="2"/>
      <c r="C3" s="2"/>
      <c r="D3" s="2"/>
      <c r="E3" s="13"/>
      <c r="F3" s="13"/>
      <c r="G3" s="14"/>
      <c r="H3" s="14"/>
    </row>
    <row r="4" spans="1:11" x14ac:dyDescent="0.2">
      <c r="A4" s="6" t="s">
        <v>7</v>
      </c>
      <c r="B4" s="6" t="s">
        <v>23</v>
      </c>
      <c r="C4" s="6" t="s">
        <v>6</v>
      </c>
      <c r="D4" s="6"/>
      <c r="E4" s="12" t="s">
        <v>8</v>
      </c>
      <c r="F4" s="12" t="s">
        <v>9</v>
      </c>
      <c r="G4" s="12" t="s">
        <v>10</v>
      </c>
      <c r="H4" s="12" t="s">
        <v>0</v>
      </c>
      <c r="I4" s="17" t="s">
        <v>28</v>
      </c>
    </row>
    <row r="5" spans="1:11" x14ac:dyDescent="0.2">
      <c r="A5" s="3" t="s">
        <v>1</v>
      </c>
      <c r="B5" s="3"/>
      <c r="C5" s="1"/>
      <c r="D5" s="1"/>
      <c r="E5" s="1">
        <v>2028901</v>
      </c>
      <c r="F5" s="1">
        <v>2029699</v>
      </c>
      <c r="G5" s="1">
        <f t="shared" ref="G5:G12" si="0">(F5-E5)+1</f>
        <v>799</v>
      </c>
      <c r="H5" s="1">
        <f>G5</f>
        <v>799</v>
      </c>
      <c r="I5" s="21">
        <v>5799</v>
      </c>
    </row>
    <row r="6" spans="1:11" x14ac:dyDescent="0.2">
      <c r="A6" s="3" t="s">
        <v>1</v>
      </c>
      <c r="B6" s="3"/>
      <c r="C6" s="1"/>
      <c r="D6" s="1"/>
      <c r="E6" s="1">
        <v>2033800</v>
      </c>
      <c r="F6" s="1">
        <v>2034699</v>
      </c>
      <c r="G6" s="1">
        <f t="shared" si="0"/>
        <v>900</v>
      </c>
      <c r="H6" s="1">
        <f t="shared" ref="H6:H12" si="1">H5+G6</f>
        <v>1699</v>
      </c>
    </row>
    <row r="7" spans="1:11" x14ac:dyDescent="0.2">
      <c r="A7" s="3" t="s">
        <v>1</v>
      </c>
      <c r="B7" s="3"/>
      <c r="C7" s="1"/>
      <c r="D7" s="1"/>
      <c r="E7" s="1">
        <v>2032800</v>
      </c>
      <c r="F7" s="1">
        <v>2033799</v>
      </c>
      <c r="G7" s="1">
        <f t="shared" si="0"/>
        <v>1000</v>
      </c>
      <c r="H7" s="1">
        <f t="shared" si="1"/>
        <v>2699</v>
      </c>
    </row>
    <row r="8" spans="1:11" x14ac:dyDescent="0.2">
      <c r="A8" s="3" t="s">
        <v>1</v>
      </c>
      <c r="B8" s="3"/>
      <c r="C8" s="1"/>
      <c r="D8" s="1"/>
      <c r="E8" s="1">
        <v>2031800</v>
      </c>
      <c r="F8" s="1">
        <v>2032799</v>
      </c>
      <c r="G8" s="1">
        <f t="shared" si="0"/>
        <v>1000</v>
      </c>
      <c r="H8" s="1">
        <f t="shared" si="1"/>
        <v>3699</v>
      </c>
    </row>
    <row r="9" spans="1:11" x14ac:dyDescent="0.2">
      <c r="A9" s="3" t="s">
        <v>1</v>
      </c>
      <c r="B9" s="3"/>
      <c r="C9" s="1"/>
      <c r="D9" s="1"/>
      <c r="E9" s="1">
        <v>2030800</v>
      </c>
      <c r="F9" s="1">
        <v>2031799</v>
      </c>
      <c r="G9" s="1">
        <f t="shared" si="0"/>
        <v>1000</v>
      </c>
      <c r="H9" s="1">
        <f t="shared" si="1"/>
        <v>4699</v>
      </c>
    </row>
    <row r="10" spans="1:11" x14ac:dyDescent="0.2">
      <c r="A10" s="3" t="s">
        <v>1</v>
      </c>
      <c r="B10" s="3"/>
      <c r="C10" s="1"/>
      <c r="D10" s="1"/>
      <c r="E10" s="1">
        <v>2029800</v>
      </c>
      <c r="F10" s="1">
        <v>2030799</v>
      </c>
      <c r="G10" s="1">
        <f t="shared" si="0"/>
        <v>1000</v>
      </c>
      <c r="H10" s="1">
        <f t="shared" si="1"/>
        <v>5699</v>
      </c>
    </row>
    <row r="11" spans="1:11" x14ac:dyDescent="0.2">
      <c r="A11" s="3" t="s">
        <v>1</v>
      </c>
      <c r="B11" s="3"/>
      <c r="C11" s="1"/>
      <c r="D11" s="1"/>
      <c r="E11" s="1">
        <v>2029740</v>
      </c>
      <c r="F11" s="1">
        <v>2029799</v>
      </c>
      <c r="G11" s="1">
        <f t="shared" si="0"/>
        <v>60</v>
      </c>
      <c r="H11" s="1">
        <f t="shared" si="1"/>
        <v>5759</v>
      </c>
    </row>
    <row r="12" spans="1:11" x14ac:dyDescent="0.2">
      <c r="A12" s="3" t="s">
        <v>1</v>
      </c>
      <c r="B12" s="3"/>
      <c r="C12" s="1"/>
      <c r="D12" s="1"/>
      <c r="E12" s="1">
        <v>2029700</v>
      </c>
      <c r="F12" s="1">
        <v>2029739</v>
      </c>
      <c r="G12" s="1">
        <f t="shared" si="0"/>
        <v>40</v>
      </c>
      <c r="H12" s="1">
        <f t="shared" si="1"/>
        <v>5799</v>
      </c>
      <c r="I12" s="21">
        <f>I5-H12</f>
        <v>0</v>
      </c>
      <c r="J12" t="s">
        <v>27</v>
      </c>
    </row>
    <row r="13" spans="1:11" x14ac:dyDescent="0.2">
      <c r="A13" s="3" t="s">
        <v>1</v>
      </c>
      <c r="B13" s="3"/>
      <c r="C13" s="1"/>
      <c r="D13" s="1"/>
      <c r="E13" s="1"/>
      <c r="F13" s="1"/>
      <c r="G13" s="1"/>
      <c r="H13" s="1"/>
    </row>
    <row r="15" spans="1:11" x14ac:dyDescent="0.2">
      <c r="A15" s="6" t="s">
        <v>7</v>
      </c>
      <c r="B15" s="6" t="s">
        <v>23</v>
      </c>
      <c r="C15" s="6" t="s">
        <v>15</v>
      </c>
      <c r="D15" s="6"/>
      <c r="E15" s="6" t="s">
        <v>8</v>
      </c>
      <c r="F15" s="6" t="s">
        <v>9</v>
      </c>
      <c r="G15" s="6" t="s">
        <v>10</v>
      </c>
      <c r="H15" s="6" t="s">
        <v>0</v>
      </c>
      <c r="I15" s="6" t="s">
        <v>12</v>
      </c>
      <c r="J15" s="17" t="s">
        <v>45</v>
      </c>
      <c r="K15">
        <v>3335</v>
      </c>
    </row>
    <row r="16" spans="1:11" x14ac:dyDescent="0.2">
      <c r="A16" s="3" t="s">
        <v>11</v>
      </c>
      <c r="B16" s="19">
        <v>2080080000000</v>
      </c>
      <c r="C16" s="1">
        <v>1</v>
      </c>
      <c r="D16" s="1"/>
      <c r="E16" s="1">
        <v>2027654</v>
      </c>
      <c r="F16" s="1">
        <v>2027785</v>
      </c>
      <c r="G16" s="1">
        <f>(F16-E16)+1</f>
        <v>132</v>
      </c>
      <c r="H16" s="1">
        <f>G16</f>
        <v>132</v>
      </c>
      <c r="I16" s="1" t="s">
        <v>48</v>
      </c>
      <c r="J16">
        <f>H16</f>
        <v>132</v>
      </c>
    </row>
    <row r="17" spans="1:10" x14ac:dyDescent="0.2">
      <c r="A17" s="2"/>
      <c r="B17" s="2"/>
    </row>
    <row r="18" spans="1:10" x14ac:dyDescent="0.2">
      <c r="A18" s="6" t="s">
        <v>7</v>
      </c>
      <c r="B18" s="6" t="s">
        <v>23</v>
      </c>
      <c r="C18" s="6" t="s">
        <v>15</v>
      </c>
      <c r="D18" s="6"/>
      <c r="E18" s="6" t="s">
        <v>8</v>
      </c>
      <c r="F18" s="6" t="s">
        <v>9</v>
      </c>
      <c r="G18" s="6" t="s">
        <v>10</v>
      </c>
      <c r="H18" s="6" t="s">
        <v>0</v>
      </c>
      <c r="I18" s="6" t="s">
        <v>12</v>
      </c>
      <c r="J18" s="17"/>
    </row>
    <row r="19" spans="1:10" x14ac:dyDescent="0.2">
      <c r="A19" s="3" t="s">
        <v>11</v>
      </c>
      <c r="B19" s="19">
        <v>2080100000000</v>
      </c>
      <c r="C19" s="1">
        <v>2</v>
      </c>
      <c r="D19" s="1"/>
      <c r="E19" s="1">
        <v>2028008</v>
      </c>
      <c r="F19" s="1">
        <v>2028895</v>
      </c>
      <c r="G19" s="1">
        <f>(F19-E19)+1</f>
        <v>888</v>
      </c>
      <c r="H19" s="1">
        <f>G19</f>
        <v>888</v>
      </c>
      <c r="I19" s="1" t="s">
        <v>46</v>
      </c>
      <c r="J19">
        <f>H20</f>
        <v>895</v>
      </c>
    </row>
    <row r="20" spans="1:10" x14ac:dyDescent="0.2">
      <c r="A20" s="3" t="s">
        <v>11</v>
      </c>
      <c r="B20" s="19">
        <v>2080100000000</v>
      </c>
      <c r="C20">
        <v>2</v>
      </c>
      <c r="E20">
        <v>1998669</v>
      </c>
      <c r="F20">
        <v>1998675</v>
      </c>
      <c r="G20" s="1">
        <f>(F20-E20)+1</f>
        <v>7</v>
      </c>
      <c r="H20">
        <f>H19+G20</f>
        <v>895</v>
      </c>
      <c r="I20" t="s">
        <v>29</v>
      </c>
    </row>
    <row r="21" spans="1:10" x14ac:dyDescent="0.2">
      <c r="A21" s="2"/>
      <c r="B21" s="2"/>
    </row>
    <row r="22" spans="1:10" x14ac:dyDescent="0.2">
      <c r="A22" s="6" t="s">
        <v>7</v>
      </c>
      <c r="B22" s="6" t="s">
        <v>23</v>
      </c>
      <c r="C22" s="6" t="s">
        <v>15</v>
      </c>
      <c r="D22" s="6"/>
      <c r="E22" s="6" t="s">
        <v>8</v>
      </c>
      <c r="F22" s="6" t="s">
        <v>9</v>
      </c>
      <c r="G22" s="6" t="s">
        <v>10</v>
      </c>
      <c r="H22" s="6" t="s">
        <v>0</v>
      </c>
      <c r="I22" s="6" t="s">
        <v>12</v>
      </c>
    </row>
    <row r="23" spans="1:10" x14ac:dyDescent="0.2">
      <c r="A23" s="3" t="s">
        <v>11</v>
      </c>
      <c r="B23" s="19">
        <v>2080120000000</v>
      </c>
      <c r="C23" s="1">
        <v>3</v>
      </c>
      <c r="D23" s="1"/>
      <c r="E23" s="1">
        <v>2025119</v>
      </c>
      <c r="F23" s="1">
        <v>2025799</v>
      </c>
      <c r="G23" s="1">
        <f>(F23-E23)+1</f>
        <v>681</v>
      </c>
      <c r="H23" s="1">
        <f>G23</f>
        <v>681</v>
      </c>
      <c r="I23" s="1" t="s">
        <v>44</v>
      </c>
      <c r="J23">
        <f>H24</f>
        <v>1681</v>
      </c>
    </row>
    <row r="24" spans="1:10" x14ac:dyDescent="0.2">
      <c r="A24" s="3" t="s">
        <v>11</v>
      </c>
      <c r="B24" s="19">
        <v>2080120000000</v>
      </c>
      <c r="C24" s="1">
        <v>3</v>
      </c>
      <c r="D24" s="1"/>
      <c r="E24" s="1">
        <v>2025800</v>
      </c>
      <c r="F24" s="1">
        <v>2026799</v>
      </c>
      <c r="G24" s="1">
        <f>(F24-E24)+1</f>
        <v>1000</v>
      </c>
      <c r="H24" s="1">
        <f>H23+G24</f>
        <v>1681</v>
      </c>
      <c r="I24" s="1" t="s">
        <v>44</v>
      </c>
    </row>
    <row r="25" spans="1:10" x14ac:dyDescent="0.2">
      <c r="A25" s="2"/>
      <c r="B25" s="2"/>
    </row>
    <row r="26" spans="1:10" x14ac:dyDescent="0.2">
      <c r="A26" s="6" t="s">
        <v>7</v>
      </c>
      <c r="B26" s="6" t="s">
        <v>23</v>
      </c>
      <c r="C26" s="6" t="s">
        <v>15</v>
      </c>
      <c r="D26" s="6"/>
      <c r="E26" s="6" t="s">
        <v>8</v>
      </c>
      <c r="F26" s="6" t="s">
        <v>9</v>
      </c>
      <c r="G26" s="6" t="s">
        <v>10</v>
      </c>
      <c r="H26" s="6" t="s">
        <v>0</v>
      </c>
      <c r="I26" s="6" t="s">
        <v>12</v>
      </c>
    </row>
    <row r="27" spans="1:10" x14ac:dyDescent="0.2">
      <c r="A27" s="3" t="s">
        <v>11</v>
      </c>
      <c r="B27" s="19">
        <v>2080130200000</v>
      </c>
      <c r="C27" s="1">
        <v>4</v>
      </c>
      <c r="D27" s="1"/>
      <c r="E27" s="1">
        <v>2027016</v>
      </c>
      <c r="F27" s="1">
        <v>2027515</v>
      </c>
      <c r="G27" s="1">
        <f>(F27-E27)+1</f>
        <v>500</v>
      </c>
      <c r="H27" s="1">
        <f>G27</f>
        <v>500</v>
      </c>
      <c r="I27" s="1" t="s">
        <v>49</v>
      </c>
      <c r="J27">
        <f>H28</f>
        <v>505</v>
      </c>
    </row>
    <row r="28" spans="1:10" x14ac:dyDescent="0.2">
      <c r="A28" s="3" t="s">
        <v>11</v>
      </c>
      <c r="B28" s="19">
        <v>2080130200000</v>
      </c>
      <c r="C28" s="1">
        <v>4</v>
      </c>
      <c r="D28" s="1"/>
      <c r="E28" s="1">
        <v>2028896</v>
      </c>
      <c r="F28" s="1">
        <v>2028900</v>
      </c>
      <c r="G28" s="1">
        <f>(F28-E28)+1</f>
        <v>5</v>
      </c>
      <c r="H28" s="1">
        <f>H27+G28</f>
        <v>505</v>
      </c>
      <c r="I28" s="1" t="s">
        <v>50</v>
      </c>
    </row>
    <row r="29" spans="1:10" x14ac:dyDescent="0.2">
      <c r="A29" s="2"/>
      <c r="B29" s="2"/>
    </row>
    <row r="30" spans="1:10" x14ac:dyDescent="0.2">
      <c r="A30" s="6" t="s">
        <v>7</v>
      </c>
      <c r="B30" s="6"/>
      <c r="C30" s="6" t="s">
        <v>15</v>
      </c>
      <c r="D30" s="6"/>
      <c r="E30" s="6" t="s">
        <v>8</v>
      </c>
      <c r="F30" s="6" t="s">
        <v>9</v>
      </c>
      <c r="G30" s="6" t="s">
        <v>10</v>
      </c>
      <c r="H30" s="6" t="s">
        <v>0</v>
      </c>
      <c r="I30" s="6" t="s">
        <v>12</v>
      </c>
    </row>
    <row r="31" spans="1:10" x14ac:dyDescent="0.2">
      <c r="A31" s="3" t="s">
        <v>11</v>
      </c>
      <c r="B31" s="19"/>
      <c r="C31" s="1">
        <v>6</v>
      </c>
      <c r="D31" s="1"/>
      <c r="E31" s="1"/>
      <c r="F31" s="1"/>
      <c r="G31" s="1">
        <f>(F31-E31)+1</f>
        <v>1</v>
      </c>
      <c r="H31" s="1">
        <f>G31</f>
        <v>1</v>
      </c>
      <c r="I31" s="1"/>
    </row>
    <row r="32" spans="1:10" x14ac:dyDescent="0.2">
      <c r="A32" s="2"/>
      <c r="B32" s="2"/>
    </row>
    <row r="33" spans="1:12" x14ac:dyDescent="0.2">
      <c r="A33" s="6" t="s">
        <v>7</v>
      </c>
      <c r="B33" s="6" t="s">
        <v>23</v>
      </c>
      <c r="C33" s="6" t="s">
        <v>15</v>
      </c>
      <c r="D33" s="6"/>
      <c r="E33" s="6" t="s">
        <v>8</v>
      </c>
      <c r="F33" s="6" t="s">
        <v>9</v>
      </c>
      <c r="G33" s="6" t="s">
        <v>10</v>
      </c>
      <c r="H33" s="6" t="s">
        <v>0</v>
      </c>
      <c r="I33" s="6" t="s">
        <v>12</v>
      </c>
    </row>
    <row r="34" spans="1:12" x14ac:dyDescent="0.2">
      <c r="A34" s="3" t="s">
        <v>11</v>
      </c>
      <c r="B34" s="19">
        <v>2080160400000</v>
      </c>
      <c r="C34" s="1">
        <v>9</v>
      </c>
      <c r="D34" s="1"/>
      <c r="E34" s="1">
        <v>2027534</v>
      </c>
      <c r="F34" s="1">
        <v>2027653</v>
      </c>
      <c r="G34" s="1">
        <f>(F34-E34)+1</f>
        <v>120</v>
      </c>
      <c r="H34" s="1">
        <f>G34</f>
        <v>120</v>
      </c>
      <c r="I34" s="1" t="s">
        <v>43</v>
      </c>
      <c r="J34">
        <f>H34</f>
        <v>120</v>
      </c>
      <c r="K34" s="15">
        <f>K15-(J16+J19+J23+J27+J34)</f>
        <v>2</v>
      </c>
      <c r="L34" t="s">
        <v>39</v>
      </c>
    </row>
    <row r="35" spans="1:12" x14ac:dyDescent="0.2">
      <c r="A35" s="2"/>
      <c r="B35" s="2"/>
    </row>
    <row r="37" spans="1:12" x14ac:dyDescent="0.2">
      <c r="A37" s="6" t="s">
        <v>7</v>
      </c>
      <c r="B37" s="6" t="s">
        <v>23</v>
      </c>
      <c r="C37" s="6" t="s">
        <v>15</v>
      </c>
      <c r="D37" s="6"/>
      <c r="E37" s="6" t="s">
        <v>8</v>
      </c>
      <c r="F37" s="6" t="s">
        <v>9</v>
      </c>
      <c r="G37" s="6" t="s">
        <v>10</v>
      </c>
      <c r="H37" s="6" t="s">
        <v>0</v>
      </c>
      <c r="I37" s="6" t="s">
        <v>13</v>
      </c>
      <c r="J37" t="s">
        <v>19</v>
      </c>
    </row>
    <row r="38" spans="1:12" x14ac:dyDescent="0.2">
      <c r="A38" s="3" t="s">
        <v>14</v>
      </c>
      <c r="B38" s="18">
        <v>2080080000000</v>
      </c>
      <c r="C38" s="1">
        <v>1</v>
      </c>
      <c r="D38" s="1"/>
      <c r="E38" s="1">
        <v>2024756</v>
      </c>
      <c r="F38" s="1">
        <v>2024795</v>
      </c>
      <c r="G38" s="1">
        <f t="shared" ref="G38:G43" si="2">(F38-E38)+1</f>
        <v>40</v>
      </c>
      <c r="H38" s="1">
        <f>G38</f>
        <v>40</v>
      </c>
      <c r="I38" s="1" t="s">
        <v>55</v>
      </c>
      <c r="J38">
        <v>111</v>
      </c>
      <c r="K38" s="1"/>
    </row>
    <row r="39" spans="1:12" x14ac:dyDescent="0.2">
      <c r="A39" s="3" t="s">
        <v>14</v>
      </c>
      <c r="B39" s="18">
        <v>2080080000000</v>
      </c>
      <c r="C39" s="1">
        <v>1</v>
      </c>
      <c r="D39" s="1"/>
      <c r="E39" s="1">
        <v>2024700</v>
      </c>
      <c r="F39" s="1">
        <v>2024755</v>
      </c>
      <c r="G39" s="1">
        <f t="shared" si="2"/>
        <v>56</v>
      </c>
      <c r="H39" s="1">
        <f t="shared" ref="H39:H43" si="3">H38+G39</f>
        <v>96</v>
      </c>
      <c r="I39" s="1" t="s">
        <v>55</v>
      </c>
    </row>
    <row r="40" spans="1:12" x14ac:dyDescent="0.2">
      <c r="A40" s="3" t="s">
        <v>14</v>
      </c>
      <c r="B40" s="18">
        <v>2080080000000</v>
      </c>
      <c r="C40" s="1">
        <v>1</v>
      </c>
      <c r="D40" s="1"/>
      <c r="E40" s="1">
        <v>2024796</v>
      </c>
      <c r="F40" s="1">
        <v>2024799</v>
      </c>
      <c r="G40" s="1">
        <f t="shared" si="2"/>
        <v>4</v>
      </c>
      <c r="H40" s="1">
        <f t="shared" si="3"/>
        <v>100</v>
      </c>
      <c r="I40" s="1" t="s">
        <v>55</v>
      </c>
    </row>
    <row r="41" spans="1:12" x14ac:dyDescent="0.2">
      <c r="A41" s="3" t="s">
        <v>14</v>
      </c>
      <c r="B41" s="18">
        <v>2080080000000</v>
      </c>
      <c r="C41" s="1">
        <v>1</v>
      </c>
      <c r="D41" s="1"/>
      <c r="E41" s="1">
        <v>1997574</v>
      </c>
      <c r="F41" s="1">
        <v>1997581</v>
      </c>
      <c r="G41" s="1">
        <f t="shared" si="2"/>
        <v>8</v>
      </c>
      <c r="H41" s="1">
        <f t="shared" si="3"/>
        <v>108</v>
      </c>
      <c r="I41" s="1" t="s">
        <v>55</v>
      </c>
    </row>
    <row r="42" spans="1:12" x14ac:dyDescent="0.2">
      <c r="A42" s="3" t="s">
        <v>14</v>
      </c>
      <c r="B42" s="18">
        <v>2080080000000</v>
      </c>
      <c r="C42" s="1">
        <v>1</v>
      </c>
      <c r="D42" s="1"/>
      <c r="E42" s="1">
        <v>1997659</v>
      </c>
      <c r="F42" s="1">
        <v>1997659</v>
      </c>
      <c r="G42" s="1">
        <f t="shared" si="2"/>
        <v>1</v>
      </c>
      <c r="H42" s="1">
        <f t="shared" si="3"/>
        <v>109</v>
      </c>
      <c r="I42" s="1" t="s">
        <v>55</v>
      </c>
    </row>
    <row r="43" spans="1:12" x14ac:dyDescent="0.2">
      <c r="A43" s="3" t="s">
        <v>14</v>
      </c>
      <c r="B43" s="18">
        <v>2080080000000</v>
      </c>
      <c r="C43" s="1">
        <v>1</v>
      </c>
      <c r="D43" s="1"/>
      <c r="E43" s="1">
        <v>1997660</v>
      </c>
      <c r="F43" s="1">
        <v>1997661</v>
      </c>
      <c r="G43" s="1">
        <f t="shared" si="2"/>
        <v>2</v>
      </c>
      <c r="H43" s="1">
        <f t="shared" si="3"/>
        <v>111</v>
      </c>
      <c r="I43" s="1" t="s">
        <v>55</v>
      </c>
      <c r="J43" s="23">
        <f>H43-J38</f>
        <v>0</v>
      </c>
    </row>
    <row r="44" spans="1:12" x14ac:dyDescent="0.2">
      <c r="A44" s="3"/>
      <c r="B44" s="19"/>
      <c r="C44" s="1"/>
      <c r="D44" s="1"/>
      <c r="E44" s="1"/>
      <c r="F44" s="1"/>
      <c r="G44" s="1"/>
      <c r="H44" s="1"/>
      <c r="I44" s="1"/>
    </row>
    <row r="46" spans="1:12" x14ac:dyDescent="0.2">
      <c r="A46" s="6" t="s">
        <v>7</v>
      </c>
      <c r="B46" s="6" t="s">
        <v>23</v>
      </c>
      <c r="C46" s="6" t="s">
        <v>15</v>
      </c>
      <c r="D46" s="6"/>
      <c r="E46" s="6" t="s">
        <v>8</v>
      </c>
      <c r="F46" s="6" t="s">
        <v>9</v>
      </c>
      <c r="G46" s="6" t="s">
        <v>10</v>
      </c>
      <c r="H46" s="6" t="s">
        <v>0</v>
      </c>
      <c r="I46" s="6" t="s">
        <v>13</v>
      </c>
      <c r="J46" s="17" t="s">
        <v>45</v>
      </c>
    </row>
    <row r="47" spans="1:12" x14ac:dyDescent="0.2">
      <c r="A47" s="3" t="s">
        <v>14</v>
      </c>
      <c r="B47" s="18">
        <v>2080100000000</v>
      </c>
      <c r="C47" s="1">
        <v>2</v>
      </c>
      <c r="D47" s="1"/>
      <c r="E47" s="1">
        <v>2027786</v>
      </c>
      <c r="F47" s="1">
        <v>2028007</v>
      </c>
      <c r="G47" s="1">
        <f t="shared" ref="G47:G49" si="4">(F47-E47)+1</f>
        <v>222</v>
      </c>
      <c r="H47" s="1">
        <f>G47</f>
        <v>222</v>
      </c>
      <c r="I47" s="1" t="s">
        <v>47</v>
      </c>
      <c r="J47">
        <v>351</v>
      </c>
    </row>
    <row r="48" spans="1:12" x14ac:dyDescent="0.2">
      <c r="A48" s="3" t="s">
        <v>14</v>
      </c>
      <c r="B48" s="18">
        <v>2080100000000</v>
      </c>
      <c r="C48" s="1">
        <v>2</v>
      </c>
      <c r="D48" s="1"/>
      <c r="E48" s="1">
        <v>1956751</v>
      </c>
      <c r="F48" s="1">
        <v>1956887</v>
      </c>
      <c r="G48" s="1">
        <f t="shared" si="4"/>
        <v>137</v>
      </c>
      <c r="H48" s="1">
        <f t="shared" ref="H48:H49" si="5">H47+G48</f>
        <v>359</v>
      </c>
      <c r="I48" s="1" t="s">
        <v>47</v>
      </c>
    </row>
    <row r="49" spans="1:12" x14ac:dyDescent="0.2">
      <c r="A49" s="3" t="s">
        <v>14</v>
      </c>
      <c r="B49" s="18">
        <v>2080100000000</v>
      </c>
      <c r="C49" s="1">
        <v>2</v>
      </c>
      <c r="D49" s="1"/>
      <c r="E49" s="1">
        <v>2010647</v>
      </c>
      <c r="F49" s="1">
        <v>2010650</v>
      </c>
      <c r="G49" s="1">
        <f t="shared" si="4"/>
        <v>4</v>
      </c>
      <c r="H49" s="1">
        <f t="shared" si="5"/>
        <v>363</v>
      </c>
      <c r="I49" s="1" t="s">
        <v>47</v>
      </c>
      <c r="J49" s="15">
        <f>H49-J47</f>
        <v>12</v>
      </c>
    </row>
    <row r="50" spans="1:12" x14ac:dyDescent="0.2">
      <c r="A50" s="3"/>
      <c r="B50" s="19"/>
      <c r="C50" s="1"/>
      <c r="D50" s="1"/>
      <c r="E50" s="1"/>
      <c r="F50" s="1"/>
      <c r="G50" s="1"/>
      <c r="H50" s="1"/>
      <c r="I50" s="1"/>
    </row>
    <row r="51" spans="1:12" x14ac:dyDescent="0.2">
      <c r="A51" s="3" t="s">
        <v>14</v>
      </c>
      <c r="B51" s="19">
        <v>2080100000001</v>
      </c>
      <c r="C51" s="1">
        <v>2</v>
      </c>
      <c r="D51" s="1"/>
      <c r="E51" s="1">
        <v>1942590</v>
      </c>
      <c r="F51" s="1">
        <v>1942601</v>
      </c>
      <c r="G51" s="1">
        <f>(F51-E51)+1</f>
        <v>12</v>
      </c>
      <c r="H51" s="1">
        <f>G51</f>
        <v>12</v>
      </c>
      <c r="I51" s="1" t="s">
        <v>24</v>
      </c>
      <c r="J51">
        <v>12</v>
      </c>
      <c r="K51" s="23">
        <f>H51-J51</f>
        <v>0</v>
      </c>
      <c r="L51" t="s">
        <v>30</v>
      </c>
    </row>
    <row r="53" spans="1:12" x14ac:dyDescent="0.2">
      <c r="A53" s="6" t="s">
        <v>7</v>
      </c>
      <c r="B53" s="6" t="s">
        <v>23</v>
      </c>
      <c r="C53" s="6" t="s">
        <v>15</v>
      </c>
      <c r="D53" s="6"/>
      <c r="E53" s="6" t="s">
        <v>8</v>
      </c>
      <c r="F53" s="6" t="s">
        <v>9</v>
      </c>
      <c r="G53" s="6" t="s">
        <v>10</v>
      </c>
      <c r="H53" s="6" t="s">
        <v>0</v>
      </c>
      <c r="I53" s="6" t="s">
        <v>13</v>
      </c>
      <c r="J53" s="17" t="s">
        <v>28</v>
      </c>
    </row>
    <row r="54" spans="1:12" x14ac:dyDescent="0.2">
      <c r="A54" s="3" t="s">
        <v>14</v>
      </c>
      <c r="B54" s="18">
        <v>2080120000000</v>
      </c>
      <c r="C54" s="1">
        <v>3</v>
      </c>
      <c r="D54" s="1"/>
      <c r="E54" s="1">
        <v>2024960</v>
      </c>
      <c r="F54" s="1">
        <v>2025060</v>
      </c>
      <c r="G54" s="1">
        <f t="shared" ref="G54:G59" si="6">(F54-E54)+1</f>
        <v>101</v>
      </c>
      <c r="H54" s="1">
        <f>G54</f>
        <v>101</v>
      </c>
      <c r="I54" s="1" t="s">
        <v>20</v>
      </c>
      <c r="J54">
        <v>101</v>
      </c>
      <c r="K54" s="23">
        <f>H54-J54</f>
        <v>0</v>
      </c>
    </row>
    <row r="55" spans="1:12" x14ac:dyDescent="0.2">
      <c r="A55" s="2"/>
      <c r="B55" s="26"/>
    </row>
    <row r="56" spans="1:12" x14ac:dyDescent="0.2">
      <c r="A56" s="3" t="s">
        <v>14</v>
      </c>
      <c r="B56" s="18">
        <v>20801200000001</v>
      </c>
      <c r="C56" s="1">
        <v>3</v>
      </c>
      <c r="D56" s="1"/>
      <c r="E56" s="1">
        <v>1944755</v>
      </c>
      <c r="F56" s="1">
        <v>1944755</v>
      </c>
      <c r="G56" s="1">
        <f t="shared" si="6"/>
        <v>1</v>
      </c>
      <c r="H56" s="1">
        <f>G56</f>
        <v>1</v>
      </c>
      <c r="I56" s="1" t="s">
        <v>20</v>
      </c>
      <c r="J56">
        <v>4</v>
      </c>
    </row>
    <row r="57" spans="1:12" x14ac:dyDescent="0.2">
      <c r="A57" s="3" t="s">
        <v>14</v>
      </c>
      <c r="B57" s="18">
        <v>20801200000001</v>
      </c>
      <c r="C57" s="1">
        <v>3</v>
      </c>
      <c r="D57" s="1"/>
      <c r="E57" s="1">
        <v>1944752</v>
      </c>
      <c r="F57" s="1">
        <v>1944752</v>
      </c>
      <c r="G57" s="1">
        <f t="shared" si="6"/>
        <v>1</v>
      </c>
      <c r="H57" s="1">
        <f>H56+G57</f>
        <v>2</v>
      </c>
      <c r="I57" s="1" t="s">
        <v>20</v>
      </c>
    </row>
    <row r="58" spans="1:12" x14ac:dyDescent="0.2">
      <c r="A58" s="3" t="s">
        <v>14</v>
      </c>
      <c r="B58" s="18">
        <v>20801200000001</v>
      </c>
      <c r="C58" s="1">
        <v>3</v>
      </c>
      <c r="D58" s="1"/>
      <c r="E58" s="1">
        <v>1944757</v>
      </c>
      <c r="F58" s="1">
        <v>1944757</v>
      </c>
      <c r="G58" s="1">
        <f t="shared" si="6"/>
        <v>1</v>
      </c>
      <c r="H58" s="1">
        <f>H57+G58</f>
        <v>3</v>
      </c>
      <c r="I58" s="1" t="s">
        <v>20</v>
      </c>
    </row>
    <row r="59" spans="1:12" x14ac:dyDescent="0.2">
      <c r="A59" s="3" t="s">
        <v>14</v>
      </c>
      <c r="B59" s="18">
        <v>20801200000001</v>
      </c>
      <c r="C59" s="1">
        <v>3</v>
      </c>
      <c r="D59" s="1"/>
      <c r="E59" s="1">
        <v>1944753</v>
      </c>
      <c r="F59" s="1">
        <v>1944753</v>
      </c>
      <c r="G59" s="1">
        <f t="shared" si="6"/>
        <v>1</v>
      </c>
      <c r="H59" s="1">
        <f>H58+G59</f>
        <v>4</v>
      </c>
      <c r="I59" s="1" t="s">
        <v>20</v>
      </c>
      <c r="J59" s="23">
        <f>H59-J56</f>
        <v>0</v>
      </c>
    </row>
    <row r="61" spans="1:12" x14ac:dyDescent="0.2">
      <c r="A61" s="6" t="s">
        <v>7</v>
      </c>
      <c r="B61" s="6" t="s">
        <v>23</v>
      </c>
      <c r="C61" s="6" t="s">
        <v>15</v>
      </c>
      <c r="D61" s="6"/>
      <c r="E61" s="6" t="s">
        <v>8</v>
      </c>
      <c r="F61" s="6" t="s">
        <v>9</v>
      </c>
      <c r="G61" s="6" t="s">
        <v>10</v>
      </c>
      <c r="H61" s="6" t="s">
        <v>0</v>
      </c>
      <c r="I61" s="6" t="s">
        <v>13</v>
      </c>
      <c r="J61" s="17" t="s">
        <v>28</v>
      </c>
    </row>
    <row r="62" spans="1:12" x14ac:dyDescent="0.2">
      <c r="A62" s="3" t="s">
        <v>14</v>
      </c>
      <c r="B62" s="18">
        <v>2080130200000</v>
      </c>
      <c r="C62" s="1">
        <v>4</v>
      </c>
      <c r="D62" s="1"/>
      <c r="E62" s="1">
        <v>2012702</v>
      </c>
      <c r="F62" s="1">
        <v>2012751</v>
      </c>
      <c r="G62" s="1">
        <f t="shared" ref="G62:G68" si="7">(F62-E62)+1</f>
        <v>50</v>
      </c>
      <c r="H62" s="1">
        <f>G62</f>
        <v>50</v>
      </c>
      <c r="I62" s="1" t="s">
        <v>18</v>
      </c>
      <c r="J62">
        <v>1585</v>
      </c>
    </row>
    <row r="63" spans="1:12" x14ac:dyDescent="0.2">
      <c r="A63" s="3" t="s">
        <v>14</v>
      </c>
      <c r="B63" s="18">
        <v>2080130200000</v>
      </c>
      <c r="C63" s="1">
        <v>4</v>
      </c>
      <c r="D63" s="1"/>
      <c r="E63" s="1">
        <v>2012807</v>
      </c>
      <c r="F63" s="1">
        <v>2012847</v>
      </c>
      <c r="G63" s="1">
        <f t="shared" si="7"/>
        <v>41</v>
      </c>
      <c r="H63" s="1">
        <f t="shared" ref="H63:H79" si="8">H62+G63</f>
        <v>91</v>
      </c>
      <c r="I63" s="1" t="s">
        <v>18</v>
      </c>
    </row>
    <row r="64" spans="1:12" x14ac:dyDescent="0.2">
      <c r="A64" s="3" t="s">
        <v>14</v>
      </c>
      <c r="B64" s="18">
        <v>2080130200000</v>
      </c>
      <c r="C64" s="1">
        <v>4</v>
      </c>
      <c r="D64" s="1"/>
      <c r="E64" s="1">
        <v>2013066</v>
      </c>
      <c r="F64" s="1">
        <v>2013165</v>
      </c>
      <c r="G64" s="1">
        <f t="shared" si="7"/>
        <v>100</v>
      </c>
      <c r="H64" s="1">
        <f t="shared" si="8"/>
        <v>191</v>
      </c>
      <c r="I64" s="1" t="s">
        <v>18</v>
      </c>
    </row>
    <row r="65" spans="1:11" x14ac:dyDescent="0.2">
      <c r="A65" s="3" t="s">
        <v>14</v>
      </c>
      <c r="B65" s="18">
        <v>2080130200000</v>
      </c>
      <c r="C65" s="1">
        <v>4</v>
      </c>
      <c r="D65" s="1"/>
      <c r="E65" s="1">
        <v>2014216</v>
      </c>
      <c r="F65" s="1">
        <v>2014315</v>
      </c>
      <c r="G65" s="1">
        <f t="shared" si="7"/>
        <v>100</v>
      </c>
      <c r="H65" s="1">
        <f t="shared" si="8"/>
        <v>291</v>
      </c>
      <c r="I65" s="1" t="s">
        <v>18</v>
      </c>
    </row>
    <row r="66" spans="1:11" x14ac:dyDescent="0.2">
      <c r="A66" s="3" t="s">
        <v>14</v>
      </c>
      <c r="B66" s="18">
        <v>2080130200000</v>
      </c>
      <c r="C66" s="1">
        <v>4</v>
      </c>
      <c r="D66" s="1"/>
      <c r="E66" s="1">
        <v>2026916</v>
      </c>
      <c r="F66" s="1">
        <v>2027015</v>
      </c>
      <c r="G66" s="1">
        <f t="shared" si="7"/>
        <v>100</v>
      </c>
      <c r="H66" s="1">
        <f t="shared" si="8"/>
        <v>391</v>
      </c>
      <c r="I66" s="1" t="s">
        <v>18</v>
      </c>
    </row>
    <row r="67" spans="1:11" x14ac:dyDescent="0.2">
      <c r="A67" s="3" t="s">
        <v>14</v>
      </c>
      <c r="B67" s="18">
        <v>2080130200000</v>
      </c>
      <c r="C67" s="1">
        <v>4</v>
      </c>
      <c r="D67" s="1"/>
      <c r="E67" s="1">
        <v>2014316</v>
      </c>
      <c r="F67" s="1">
        <v>2014415</v>
      </c>
      <c r="G67" s="1">
        <f t="shared" si="7"/>
        <v>100</v>
      </c>
      <c r="H67" s="1">
        <f t="shared" si="8"/>
        <v>491</v>
      </c>
      <c r="I67" s="1" t="s">
        <v>18</v>
      </c>
    </row>
    <row r="68" spans="1:11" x14ac:dyDescent="0.2">
      <c r="A68" s="3" t="s">
        <v>14</v>
      </c>
      <c r="B68" s="18">
        <v>2080130200000</v>
      </c>
      <c r="C68" s="1">
        <v>4</v>
      </c>
      <c r="D68" s="1"/>
      <c r="E68" s="1">
        <v>2013166</v>
      </c>
      <c r="F68" s="1">
        <v>2013265</v>
      </c>
      <c r="G68" s="1">
        <f t="shared" si="7"/>
        <v>100</v>
      </c>
      <c r="H68" s="1">
        <f t="shared" si="8"/>
        <v>591</v>
      </c>
      <c r="I68" s="1" t="s">
        <v>18</v>
      </c>
    </row>
    <row r="69" spans="1:11" x14ac:dyDescent="0.2">
      <c r="A69" s="3" t="s">
        <v>14</v>
      </c>
      <c r="B69" s="18">
        <v>2080130200000</v>
      </c>
      <c r="C69" s="1">
        <v>4</v>
      </c>
      <c r="D69" s="1"/>
      <c r="E69" s="1">
        <v>2013366</v>
      </c>
      <c r="F69" s="1">
        <v>2013465</v>
      </c>
      <c r="G69" s="1">
        <f t="shared" ref="G69:G82" si="9">(F69-E69)+1</f>
        <v>100</v>
      </c>
      <c r="H69" s="1">
        <f t="shared" si="8"/>
        <v>691</v>
      </c>
      <c r="I69" s="1" t="s">
        <v>18</v>
      </c>
    </row>
    <row r="70" spans="1:11" x14ac:dyDescent="0.2">
      <c r="A70" s="3" t="s">
        <v>14</v>
      </c>
      <c r="B70" s="18">
        <v>2080130200000</v>
      </c>
      <c r="C70" s="1">
        <v>4</v>
      </c>
      <c r="D70" s="1"/>
      <c r="E70" s="1">
        <v>2012602</v>
      </c>
      <c r="F70" s="1">
        <v>2012701</v>
      </c>
      <c r="G70" s="1">
        <f t="shared" si="9"/>
        <v>100</v>
      </c>
      <c r="H70" s="1">
        <f t="shared" si="8"/>
        <v>791</v>
      </c>
      <c r="I70" s="1" t="s">
        <v>18</v>
      </c>
    </row>
    <row r="71" spans="1:11" x14ac:dyDescent="0.2">
      <c r="A71" s="3" t="s">
        <v>14</v>
      </c>
      <c r="B71" s="18">
        <v>2080130200000</v>
      </c>
      <c r="C71" s="1">
        <v>4</v>
      </c>
      <c r="D71" s="1"/>
      <c r="E71" s="1">
        <v>1996000</v>
      </c>
      <c r="F71" s="1">
        <v>1996099</v>
      </c>
      <c r="G71" s="1">
        <f t="shared" si="9"/>
        <v>100</v>
      </c>
      <c r="H71" s="1">
        <f t="shared" si="8"/>
        <v>891</v>
      </c>
      <c r="I71" s="1" t="s">
        <v>18</v>
      </c>
    </row>
    <row r="72" spans="1:11" x14ac:dyDescent="0.2">
      <c r="A72" s="3" t="s">
        <v>14</v>
      </c>
      <c r="B72" s="18">
        <v>2080130200000</v>
      </c>
      <c r="C72" s="1">
        <v>4</v>
      </c>
      <c r="D72" s="1"/>
      <c r="E72" s="1">
        <v>1996300</v>
      </c>
      <c r="F72" s="1">
        <v>1996399</v>
      </c>
      <c r="G72" s="1">
        <f t="shared" si="9"/>
        <v>100</v>
      </c>
      <c r="H72" s="1">
        <f t="shared" si="8"/>
        <v>991</v>
      </c>
      <c r="I72" s="1" t="s">
        <v>18</v>
      </c>
    </row>
    <row r="73" spans="1:11" x14ac:dyDescent="0.2">
      <c r="A73" s="3" t="s">
        <v>14</v>
      </c>
      <c r="B73" s="18">
        <v>2080130200000</v>
      </c>
      <c r="C73" s="1">
        <v>4</v>
      </c>
      <c r="D73" s="1"/>
      <c r="E73" s="1">
        <v>2013266</v>
      </c>
      <c r="F73" s="1">
        <v>2013365</v>
      </c>
      <c r="G73" s="1">
        <f t="shared" si="9"/>
        <v>100</v>
      </c>
      <c r="H73" s="1">
        <f t="shared" si="8"/>
        <v>1091</v>
      </c>
      <c r="I73" s="1" t="s">
        <v>18</v>
      </c>
    </row>
    <row r="74" spans="1:11" x14ac:dyDescent="0.2">
      <c r="A74" s="3" t="s">
        <v>14</v>
      </c>
      <c r="B74" s="18">
        <v>2080130200000</v>
      </c>
      <c r="C74" s="1">
        <v>4</v>
      </c>
      <c r="D74" s="1"/>
      <c r="E74" s="1">
        <v>2026816</v>
      </c>
      <c r="F74" s="1">
        <v>2026915</v>
      </c>
      <c r="G74" s="1">
        <f t="shared" si="9"/>
        <v>100</v>
      </c>
      <c r="H74" s="1">
        <f t="shared" si="8"/>
        <v>1191</v>
      </c>
      <c r="I74" s="1" t="s">
        <v>18</v>
      </c>
    </row>
    <row r="75" spans="1:11" x14ac:dyDescent="0.2">
      <c r="A75" s="3" t="s">
        <v>14</v>
      </c>
      <c r="B75" s="18">
        <v>2080130200000</v>
      </c>
      <c r="C75" s="1">
        <v>4</v>
      </c>
      <c r="D75" s="1"/>
      <c r="E75" s="1">
        <v>2014416</v>
      </c>
      <c r="F75" s="1">
        <v>2014499</v>
      </c>
      <c r="G75" s="1">
        <f t="shared" si="9"/>
        <v>84</v>
      </c>
      <c r="H75" s="1">
        <f t="shared" si="8"/>
        <v>1275</v>
      </c>
      <c r="I75" s="1" t="s">
        <v>18</v>
      </c>
    </row>
    <row r="76" spans="1:11" x14ac:dyDescent="0.2">
      <c r="A76" s="3" t="s">
        <v>14</v>
      </c>
      <c r="B76" s="18">
        <v>2080130200000</v>
      </c>
      <c r="C76" s="1">
        <v>4</v>
      </c>
      <c r="D76" s="1"/>
      <c r="E76" s="1">
        <v>2026800</v>
      </c>
      <c r="F76" s="1">
        <v>2026815</v>
      </c>
      <c r="G76" s="1">
        <f t="shared" si="9"/>
        <v>16</v>
      </c>
      <c r="H76" s="1">
        <f t="shared" si="8"/>
        <v>1291</v>
      </c>
      <c r="I76" s="1" t="s">
        <v>18</v>
      </c>
    </row>
    <row r="77" spans="1:11" x14ac:dyDescent="0.2">
      <c r="A77" s="3" t="s">
        <v>14</v>
      </c>
      <c r="B77" s="18">
        <v>2080130200000</v>
      </c>
      <c r="C77" s="1">
        <v>4</v>
      </c>
      <c r="D77" s="1"/>
      <c r="E77" s="1">
        <v>2012402</v>
      </c>
      <c r="F77" s="1">
        <v>2012501</v>
      </c>
      <c r="G77" s="1">
        <f t="shared" si="9"/>
        <v>100</v>
      </c>
      <c r="H77" s="1">
        <f t="shared" si="8"/>
        <v>1391</v>
      </c>
      <c r="I77" s="1" t="s">
        <v>18</v>
      </c>
    </row>
    <row r="78" spans="1:11" x14ac:dyDescent="0.2">
      <c r="A78" s="3" t="s">
        <v>14</v>
      </c>
      <c r="B78" s="18">
        <v>2080130200000</v>
      </c>
      <c r="C78" s="1">
        <v>4</v>
      </c>
      <c r="D78" s="1"/>
      <c r="E78" s="1">
        <v>2013466</v>
      </c>
      <c r="F78" s="1">
        <v>2013565</v>
      </c>
      <c r="G78" s="1">
        <f t="shared" si="9"/>
        <v>100</v>
      </c>
      <c r="H78" s="1">
        <f t="shared" si="8"/>
        <v>1491</v>
      </c>
      <c r="I78" s="1" t="s">
        <v>18</v>
      </c>
    </row>
    <row r="79" spans="1:11" x14ac:dyDescent="0.2">
      <c r="A79" s="3" t="s">
        <v>14</v>
      </c>
      <c r="B79" s="18">
        <v>2080130200000</v>
      </c>
      <c r="C79" s="1">
        <v>4</v>
      </c>
      <c r="D79" s="1"/>
      <c r="E79" s="1">
        <v>1996200</v>
      </c>
      <c r="F79" s="1">
        <v>1996299</v>
      </c>
      <c r="G79" s="1">
        <f t="shared" si="9"/>
        <v>100</v>
      </c>
      <c r="H79" s="1">
        <f t="shared" si="8"/>
        <v>1591</v>
      </c>
      <c r="I79" s="1" t="s">
        <v>18</v>
      </c>
      <c r="J79" s="15">
        <f>H79-J62</f>
        <v>6</v>
      </c>
      <c r="K79" t="s">
        <v>51</v>
      </c>
    </row>
    <row r="80" spans="1:11" x14ac:dyDescent="0.2">
      <c r="A80" s="27" t="s">
        <v>14</v>
      </c>
      <c r="B80" s="28">
        <v>2080130200001</v>
      </c>
      <c r="C80" s="29">
        <v>4</v>
      </c>
      <c r="D80" s="29"/>
      <c r="E80" s="29">
        <v>1974254</v>
      </c>
      <c r="F80" s="29">
        <v>1974261</v>
      </c>
      <c r="G80" s="29">
        <f t="shared" si="9"/>
        <v>8</v>
      </c>
      <c r="H80" s="29"/>
      <c r="I80" s="29" t="s">
        <v>21</v>
      </c>
      <c r="J80" s="21">
        <v>0</v>
      </c>
      <c r="K80" t="s">
        <v>30</v>
      </c>
    </row>
    <row r="81" spans="1:11" x14ac:dyDescent="0.2">
      <c r="A81" s="27" t="s">
        <v>14</v>
      </c>
      <c r="B81" s="28">
        <v>2080130218001</v>
      </c>
      <c r="C81" s="29">
        <v>4</v>
      </c>
      <c r="D81" s="29"/>
      <c r="E81" s="29">
        <v>1180166</v>
      </c>
      <c r="F81" s="29">
        <v>1180166</v>
      </c>
      <c r="G81" s="29">
        <f t="shared" si="9"/>
        <v>1</v>
      </c>
      <c r="H81" s="29">
        <f>G81</f>
        <v>1</v>
      </c>
      <c r="I81" s="29" t="s">
        <v>25</v>
      </c>
      <c r="J81">
        <v>2</v>
      </c>
      <c r="K81" t="s">
        <v>52</v>
      </c>
    </row>
    <row r="82" spans="1:11" x14ac:dyDescent="0.2">
      <c r="A82" s="27" t="s">
        <v>14</v>
      </c>
      <c r="B82" s="28">
        <v>2080130218001</v>
      </c>
      <c r="C82" s="29">
        <v>4</v>
      </c>
      <c r="D82" s="29"/>
      <c r="E82" s="29">
        <v>1180169</v>
      </c>
      <c r="F82" s="29">
        <v>1180169</v>
      </c>
      <c r="G82" s="29">
        <f t="shared" si="9"/>
        <v>1</v>
      </c>
      <c r="H82" s="29">
        <f>H81+G82</f>
        <v>2</v>
      </c>
      <c r="I82" s="29" t="s">
        <v>25</v>
      </c>
      <c r="J82" s="21">
        <f>H82-J81</f>
        <v>0</v>
      </c>
    </row>
    <row r="84" spans="1:11" x14ac:dyDescent="0.2">
      <c r="A84" s="6" t="s">
        <v>7</v>
      </c>
      <c r="B84" s="6" t="s">
        <v>23</v>
      </c>
      <c r="C84" s="6" t="s">
        <v>15</v>
      </c>
      <c r="D84" s="6"/>
      <c r="E84" s="6" t="s">
        <v>8</v>
      </c>
      <c r="F84" s="6" t="s">
        <v>9</v>
      </c>
      <c r="G84" s="6" t="s">
        <v>10</v>
      </c>
      <c r="H84" s="6" t="s">
        <v>0</v>
      </c>
      <c r="I84" s="6" t="s">
        <v>13</v>
      </c>
      <c r="J84" s="17" t="s">
        <v>28</v>
      </c>
    </row>
    <row r="85" spans="1:11" x14ac:dyDescent="0.2">
      <c r="A85" s="3" t="s">
        <v>14</v>
      </c>
      <c r="B85" s="18">
        <v>2080150200000</v>
      </c>
      <c r="C85" s="1">
        <v>6</v>
      </c>
      <c r="D85" s="1"/>
      <c r="E85" s="1">
        <v>2011762</v>
      </c>
      <c r="F85" s="1">
        <v>2011805</v>
      </c>
      <c r="G85" s="1">
        <f t="shared" ref="G85:G90" si="10">(F85-E85)+1</f>
        <v>44</v>
      </c>
      <c r="H85" s="1">
        <f>G85</f>
        <v>44</v>
      </c>
      <c r="I85" s="1" t="s">
        <v>21</v>
      </c>
      <c r="J85">
        <v>595</v>
      </c>
    </row>
    <row r="86" spans="1:11" x14ac:dyDescent="0.2">
      <c r="A86" s="3" t="s">
        <v>14</v>
      </c>
      <c r="B86" s="18">
        <v>2080150200000</v>
      </c>
      <c r="C86" s="1">
        <v>6</v>
      </c>
      <c r="D86" s="1"/>
      <c r="E86" s="1">
        <v>1974865</v>
      </c>
      <c r="F86" s="1">
        <v>1974875</v>
      </c>
      <c r="G86" s="1">
        <f t="shared" si="10"/>
        <v>11</v>
      </c>
      <c r="H86" s="1">
        <f t="shared" ref="H86:H90" si="11">H85+G86</f>
        <v>55</v>
      </c>
      <c r="I86" s="1" t="s">
        <v>21</v>
      </c>
    </row>
    <row r="87" spans="1:11" x14ac:dyDescent="0.2">
      <c r="A87" s="3" t="s">
        <v>14</v>
      </c>
      <c r="B87" s="18">
        <v>2080150200000</v>
      </c>
      <c r="C87" s="1">
        <v>6</v>
      </c>
      <c r="D87" s="1"/>
      <c r="E87" s="1">
        <v>2011702</v>
      </c>
      <c r="F87" s="1">
        <v>2011761</v>
      </c>
      <c r="G87" s="1">
        <f t="shared" si="10"/>
        <v>60</v>
      </c>
      <c r="H87" s="1">
        <f t="shared" si="11"/>
        <v>115</v>
      </c>
      <c r="I87" s="1" t="s">
        <v>21</v>
      </c>
    </row>
    <row r="88" spans="1:11" x14ac:dyDescent="0.2">
      <c r="A88" s="3" t="s">
        <v>14</v>
      </c>
      <c r="B88" s="18">
        <v>2080150200000</v>
      </c>
      <c r="C88" s="1">
        <v>6</v>
      </c>
      <c r="D88" s="1"/>
      <c r="E88" s="1">
        <v>2014136</v>
      </c>
      <c r="F88" s="1">
        <v>2014195</v>
      </c>
      <c r="G88" s="1">
        <f t="shared" si="10"/>
        <v>60</v>
      </c>
      <c r="H88" s="1">
        <f t="shared" si="11"/>
        <v>175</v>
      </c>
      <c r="I88" s="1" t="s">
        <v>21</v>
      </c>
    </row>
    <row r="89" spans="1:11" x14ac:dyDescent="0.2">
      <c r="A89" s="3" t="s">
        <v>14</v>
      </c>
      <c r="B89" s="18">
        <v>2080150200000</v>
      </c>
      <c r="C89" s="1">
        <v>6</v>
      </c>
      <c r="D89" s="1"/>
      <c r="E89" s="1">
        <v>2014016</v>
      </c>
      <c r="F89" s="1">
        <v>2014075</v>
      </c>
      <c r="G89" s="1">
        <f t="shared" si="10"/>
        <v>60</v>
      </c>
      <c r="H89" s="1">
        <f t="shared" si="11"/>
        <v>235</v>
      </c>
      <c r="I89" s="1" t="s">
        <v>21</v>
      </c>
    </row>
    <row r="90" spans="1:11" x14ac:dyDescent="0.2">
      <c r="A90" s="3" t="s">
        <v>14</v>
      </c>
      <c r="B90" s="18">
        <v>2080150200000</v>
      </c>
      <c r="C90" s="1">
        <v>6</v>
      </c>
      <c r="D90" s="1"/>
      <c r="E90" s="1">
        <v>2014076</v>
      </c>
      <c r="F90" s="1">
        <v>2014135</v>
      </c>
      <c r="G90" s="1">
        <f t="shared" si="10"/>
        <v>60</v>
      </c>
      <c r="H90" s="1">
        <f t="shared" si="11"/>
        <v>295</v>
      </c>
      <c r="I90" s="1" t="s">
        <v>21</v>
      </c>
    </row>
    <row r="91" spans="1:11" x14ac:dyDescent="0.2">
      <c r="A91" s="3" t="s">
        <v>14</v>
      </c>
      <c r="B91" s="18">
        <v>2080150200000</v>
      </c>
      <c r="C91" s="1">
        <v>6</v>
      </c>
      <c r="D91" s="1"/>
      <c r="E91" s="1">
        <v>2013896</v>
      </c>
      <c r="F91" s="1">
        <v>2013955</v>
      </c>
      <c r="G91" s="1">
        <f t="shared" ref="G91:G92" si="12">(F91-E91)+1</f>
        <v>60</v>
      </c>
      <c r="H91" s="1">
        <f t="shared" ref="H91:H92" si="13">H90+G91</f>
        <v>355</v>
      </c>
      <c r="I91" s="1" t="s">
        <v>21</v>
      </c>
    </row>
    <row r="92" spans="1:11" x14ac:dyDescent="0.2">
      <c r="A92" s="3" t="s">
        <v>14</v>
      </c>
      <c r="B92" s="18">
        <v>2080150200000</v>
      </c>
      <c r="C92" s="1">
        <v>6</v>
      </c>
      <c r="D92" s="1"/>
      <c r="E92" s="1">
        <v>2013956</v>
      </c>
      <c r="F92" s="1">
        <v>2014015</v>
      </c>
      <c r="G92" s="1">
        <f t="shared" si="12"/>
        <v>60</v>
      </c>
      <c r="H92" s="1">
        <f t="shared" si="13"/>
        <v>415</v>
      </c>
      <c r="I92" s="1" t="s">
        <v>21</v>
      </c>
    </row>
    <row r="93" spans="1:11" x14ac:dyDescent="0.2">
      <c r="A93" s="3" t="s">
        <v>14</v>
      </c>
      <c r="B93" s="18">
        <v>2080150200000</v>
      </c>
      <c r="C93" s="1">
        <v>6</v>
      </c>
      <c r="D93" s="1"/>
      <c r="E93" s="1">
        <v>2013776</v>
      </c>
      <c r="F93" s="1">
        <v>2013835</v>
      </c>
      <c r="G93" s="1">
        <f t="shared" ref="G93:G95" si="14">(F93-E93)+1</f>
        <v>60</v>
      </c>
      <c r="H93" s="1">
        <f t="shared" ref="H93:H95" si="15">H92+G93</f>
        <v>475</v>
      </c>
      <c r="I93" s="1" t="s">
        <v>21</v>
      </c>
    </row>
    <row r="94" spans="1:11" x14ac:dyDescent="0.2">
      <c r="A94" s="3" t="s">
        <v>14</v>
      </c>
      <c r="B94" s="18">
        <v>2080150200000</v>
      </c>
      <c r="C94" s="1">
        <v>6</v>
      </c>
      <c r="D94" s="1"/>
      <c r="E94" s="1">
        <v>2013716</v>
      </c>
      <c r="F94" s="1">
        <v>2013775</v>
      </c>
      <c r="G94" s="1">
        <f t="shared" si="14"/>
        <v>60</v>
      </c>
      <c r="H94" s="1">
        <f t="shared" si="15"/>
        <v>535</v>
      </c>
      <c r="I94" s="1" t="s">
        <v>21</v>
      </c>
    </row>
    <row r="95" spans="1:11" x14ac:dyDescent="0.2">
      <c r="A95" s="3" t="s">
        <v>14</v>
      </c>
      <c r="B95" s="18">
        <v>2080150200000</v>
      </c>
      <c r="C95" s="1">
        <v>6</v>
      </c>
      <c r="D95" s="1"/>
      <c r="E95" s="1">
        <v>2013836</v>
      </c>
      <c r="F95" s="1">
        <v>2013895</v>
      </c>
      <c r="G95" s="1">
        <f t="shared" si="14"/>
        <v>60</v>
      </c>
      <c r="H95" s="1">
        <f t="shared" si="15"/>
        <v>595</v>
      </c>
      <c r="I95" s="1" t="s">
        <v>21</v>
      </c>
      <c r="J95" s="21">
        <f>H95-J85</f>
        <v>0</v>
      </c>
    </row>
    <row r="96" spans="1:11" x14ac:dyDescent="0.2">
      <c r="A96" s="2"/>
      <c r="B96" s="26"/>
    </row>
    <row r="98" spans="1:11" x14ac:dyDescent="0.2">
      <c r="A98" s="6" t="s">
        <v>7</v>
      </c>
      <c r="B98" s="6" t="s">
        <v>23</v>
      </c>
      <c r="C98" s="6" t="s">
        <v>15</v>
      </c>
      <c r="D98" s="6"/>
      <c r="E98" s="6" t="s">
        <v>8</v>
      </c>
      <c r="F98" s="6" t="s">
        <v>9</v>
      </c>
      <c r="G98" s="6" t="s">
        <v>10</v>
      </c>
      <c r="H98" s="6" t="s">
        <v>0</v>
      </c>
      <c r="I98" s="6" t="s">
        <v>13</v>
      </c>
      <c r="J98" s="17" t="s">
        <v>28</v>
      </c>
    </row>
    <row r="99" spans="1:11" x14ac:dyDescent="0.2">
      <c r="A99" s="3" t="s">
        <v>14</v>
      </c>
      <c r="B99" s="18">
        <v>2080160400000</v>
      </c>
      <c r="C99" s="1">
        <v>9</v>
      </c>
      <c r="D99" s="1"/>
      <c r="E99" s="1">
        <v>2009560</v>
      </c>
      <c r="F99" s="1">
        <v>2009588</v>
      </c>
      <c r="G99" s="1">
        <f t="shared" ref="G99:G104" si="16">(F99-E99)+1</f>
        <v>29</v>
      </c>
      <c r="H99" s="1">
        <f>G99</f>
        <v>29</v>
      </c>
      <c r="I99" s="1" t="s">
        <v>20</v>
      </c>
      <c r="J99">
        <v>687</v>
      </c>
    </row>
    <row r="100" spans="1:11" x14ac:dyDescent="0.2">
      <c r="A100" s="3" t="s">
        <v>14</v>
      </c>
      <c r="B100" s="18">
        <v>2080160400000</v>
      </c>
      <c r="C100" s="1">
        <v>9</v>
      </c>
      <c r="D100" s="1"/>
      <c r="E100" s="1">
        <v>2011582</v>
      </c>
      <c r="F100" s="1">
        <v>2011641</v>
      </c>
      <c r="G100" s="1">
        <f t="shared" si="16"/>
        <v>60</v>
      </c>
      <c r="H100" s="1">
        <f t="shared" ref="H100:H104" si="17">H99+G100</f>
        <v>89</v>
      </c>
      <c r="I100" s="1" t="s">
        <v>20</v>
      </c>
    </row>
    <row r="101" spans="1:11" x14ac:dyDescent="0.2">
      <c r="A101" s="3" t="s">
        <v>14</v>
      </c>
      <c r="B101" s="18">
        <v>2080160400000</v>
      </c>
      <c r="C101" s="1">
        <v>9</v>
      </c>
      <c r="D101" s="1"/>
      <c r="E101" s="1">
        <v>2011642</v>
      </c>
      <c r="F101" s="1">
        <v>2011700</v>
      </c>
      <c r="G101" s="1">
        <f t="shared" si="16"/>
        <v>59</v>
      </c>
      <c r="H101" s="1">
        <f t="shared" si="17"/>
        <v>148</v>
      </c>
      <c r="I101" s="1" t="s">
        <v>20</v>
      </c>
    </row>
    <row r="102" spans="1:11" x14ac:dyDescent="0.2">
      <c r="A102" s="3" t="s">
        <v>14</v>
      </c>
      <c r="B102" s="18">
        <v>2080160400000</v>
      </c>
      <c r="C102" s="1">
        <v>9</v>
      </c>
      <c r="D102" s="1"/>
      <c r="E102" s="1">
        <v>2011462</v>
      </c>
      <c r="F102" s="1">
        <v>2011521</v>
      </c>
      <c r="G102" s="1">
        <f t="shared" si="16"/>
        <v>60</v>
      </c>
      <c r="H102" s="1">
        <f t="shared" si="17"/>
        <v>208</v>
      </c>
      <c r="I102" s="1" t="s">
        <v>20</v>
      </c>
    </row>
    <row r="103" spans="1:11" x14ac:dyDescent="0.2">
      <c r="A103" s="3" t="s">
        <v>14</v>
      </c>
      <c r="B103" s="18">
        <v>2080160400000</v>
      </c>
      <c r="C103" s="1">
        <v>9</v>
      </c>
      <c r="D103" s="1"/>
      <c r="E103" s="1">
        <v>2011522</v>
      </c>
      <c r="F103" s="1">
        <v>2011581</v>
      </c>
      <c r="G103" s="1">
        <f t="shared" si="16"/>
        <v>60</v>
      </c>
      <c r="H103" s="1">
        <f t="shared" si="17"/>
        <v>268</v>
      </c>
      <c r="I103" s="1" t="s">
        <v>20</v>
      </c>
    </row>
    <row r="104" spans="1:11" x14ac:dyDescent="0.2">
      <c r="A104" s="3" t="s">
        <v>14</v>
      </c>
      <c r="B104" s="18">
        <v>2080160400000</v>
      </c>
      <c r="C104" s="1">
        <v>9</v>
      </c>
      <c r="D104" s="1"/>
      <c r="E104" s="1">
        <v>1974624</v>
      </c>
      <c r="F104" s="1">
        <v>1974683</v>
      </c>
      <c r="G104" s="1">
        <f t="shared" si="16"/>
        <v>60</v>
      </c>
      <c r="H104" s="1">
        <f t="shared" si="17"/>
        <v>328</v>
      </c>
      <c r="I104" s="1" t="s">
        <v>20</v>
      </c>
    </row>
    <row r="105" spans="1:11" x14ac:dyDescent="0.2">
      <c r="A105" s="3" t="s">
        <v>14</v>
      </c>
      <c r="B105" s="18">
        <v>2080160400000</v>
      </c>
      <c r="C105" s="1">
        <v>9</v>
      </c>
      <c r="D105" s="1"/>
      <c r="E105" s="1">
        <v>2011102</v>
      </c>
      <c r="F105" s="1">
        <v>2011161</v>
      </c>
      <c r="G105" s="1">
        <f t="shared" ref="G105:G110" si="18">(F105-E105)+1</f>
        <v>60</v>
      </c>
      <c r="H105" s="1">
        <f t="shared" ref="H105:H110" si="19">H104+G105</f>
        <v>388</v>
      </c>
      <c r="I105" s="1" t="s">
        <v>20</v>
      </c>
    </row>
    <row r="106" spans="1:11" x14ac:dyDescent="0.2">
      <c r="A106" s="3" t="s">
        <v>14</v>
      </c>
      <c r="B106" s="18">
        <v>2080160400000</v>
      </c>
      <c r="C106" s="1">
        <v>9</v>
      </c>
      <c r="D106" s="1"/>
      <c r="E106" s="1">
        <v>2011162</v>
      </c>
      <c r="F106" s="1">
        <v>2011221</v>
      </c>
      <c r="G106" s="1">
        <f t="shared" si="18"/>
        <v>60</v>
      </c>
      <c r="H106" s="1">
        <f t="shared" si="19"/>
        <v>448</v>
      </c>
      <c r="I106" s="1" t="s">
        <v>20</v>
      </c>
    </row>
    <row r="107" spans="1:11" x14ac:dyDescent="0.2">
      <c r="A107" s="3" t="s">
        <v>14</v>
      </c>
      <c r="B107" s="18">
        <v>2080160400000</v>
      </c>
      <c r="C107" s="1">
        <v>9</v>
      </c>
      <c r="D107" s="1"/>
      <c r="E107" s="1">
        <v>2011222</v>
      </c>
      <c r="F107" s="1">
        <v>2011281</v>
      </c>
      <c r="G107" s="1">
        <f t="shared" si="18"/>
        <v>60</v>
      </c>
      <c r="H107" s="1">
        <f t="shared" si="19"/>
        <v>508</v>
      </c>
      <c r="I107" s="1" t="s">
        <v>20</v>
      </c>
    </row>
    <row r="108" spans="1:11" x14ac:dyDescent="0.2">
      <c r="A108" s="3" t="s">
        <v>14</v>
      </c>
      <c r="B108" s="18">
        <v>2080160400000</v>
      </c>
      <c r="C108" s="1">
        <v>9</v>
      </c>
      <c r="D108" s="1"/>
      <c r="E108" s="1">
        <v>2011342</v>
      </c>
      <c r="F108" s="1">
        <v>2011401</v>
      </c>
      <c r="G108" s="1">
        <f t="shared" si="18"/>
        <v>60</v>
      </c>
      <c r="H108" s="1">
        <f t="shared" si="19"/>
        <v>568</v>
      </c>
      <c r="I108" s="1" t="s">
        <v>20</v>
      </c>
    </row>
    <row r="109" spans="1:11" x14ac:dyDescent="0.2">
      <c r="A109" s="3" t="s">
        <v>14</v>
      </c>
      <c r="B109" s="18">
        <v>2080160400000</v>
      </c>
      <c r="C109" s="1">
        <v>9</v>
      </c>
      <c r="D109" s="1"/>
      <c r="E109" s="1">
        <v>2011402</v>
      </c>
      <c r="F109" s="1">
        <v>2011461</v>
      </c>
      <c r="G109" s="1">
        <f t="shared" si="18"/>
        <v>60</v>
      </c>
      <c r="H109" s="1">
        <f t="shared" si="19"/>
        <v>628</v>
      </c>
      <c r="I109" s="1" t="s">
        <v>20</v>
      </c>
    </row>
    <row r="110" spans="1:11" x14ac:dyDescent="0.2">
      <c r="A110" s="3" t="s">
        <v>14</v>
      </c>
      <c r="B110" s="18">
        <v>2080160400000</v>
      </c>
      <c r="C110" s="1">
        <v>9</v>
      </c>
      <c r="D110" s="1"/>
      <c r="E110" s="1">
        <v>2011282</v>
      </c>
      <c r="F110" s="1">
        <v>2011341</v>
      </c>
      <c r="G110" s="1">
        <f t="shared" si="18"/>
        <v>60</v>
      </c>
      <c r="H110" s="1">
        <f t="shared" si="19"/>
        <v>688</v>
      </c>
      <c r="I110" s="1" t="s">
        <v>20</v>
      </c>
      <c r="J110" s="15">
        <f>H110-J99</f>
        <v>1</v>
      </c>
      <c r="K110" t="s">
        <v>51</v>
      </c>
    </row>
    <row r="111" spans="1:11" x14ac:dyDescent="0.2">
      <c r="A111" s="2"/>
      <c r="B111" s="31"/>
      <c r="C111" s="22"/>
      <c r="I111" s="22"/>
    </row>
    <row r="112" spans="1:11" x14ac:dyDescent="0.2">
      <c r="A112" s="32" t="s">
        <v>14</v>
      </c>
      <c r="B112" s="33">
        <v>2080160400001</v>
      </c>
      <c r="C112" s="34">
        <v>9</v>
      </c>
      <c r="D112" s="34"/>
      <c r="E112" s="34">
        <v>1927218</v>
      </c>
      <c r="F112" s="34">
        <v>1927218</v>
      </c>
      <c r="G112" s="34">
        <f>(F112-E112)+1</f>
        <v>1</v>
      </c>
      <c r="H112" s="34">
        <f>G112</f>
        <v>1</v>
      </c>
      <c r="I112" s="34" t="s">
        <v>25</v>
      </c>
      <c r="J112" s="34">
        <v>3</v>
      </c>
      <c r="K112" t="s">
        <v>30</v>
      </c>
    </row>
    <row r="113" spans="1:10" x14ac:dyDescent="0.2">
      <c r="A113" s="32" t="s">
        <v>14</v>
      </c>
      <c r="B113" s="33">
        <v>2080160400001</v>
      </c>
      <c r="C113" s="34">
        <v>9</v>
      </c>
      <c r="D113" s="34"/>
      <c r="E113" s="34">
        <v>1927220</v>
      </c>
      <c r="F113" s="34">
        <v>1927221</v>
      </c>
      <c r="G113" s="34">
        <f>(F113-E113)+1</f>
        <v>2</v>
      </c>
      <c r="H113" s="34">
        <f>H112+G113</f>
        <v>3</v>
      </c>
      <c r="I113" s="34" t="s">
        <v>25</v>
      </c>
      <c r="J113" s="24">
        <f>H113-J112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>
      <selection activeCell="L13" sqref="L13"/>
    </sheetView>
  </sheetViews>
  <sheetFormatPr baseColWidth="10" defaultColWidth="8.83203125" defaultRowHeight="15" x14ac:dyDescent="0.2"/>
  <cols>
    <col min="1" max="1" width="11.1640625" customWidth="1"/>
    <col min="2" max="2" width="14.1640625" bestFit="1" customWidth="1"/>
    <col min="3" max="3" width="5.5" customWidth="1"/>
    <col min="4" max="4" width="3.5" customWidth="1"/>
    <col min="9" max="9" width="16" bestFit="1" customWidth="1"/>
  </cols>
  <sheetData>
    <row r="1" spans="1:10" x14ac:dyDescent="0.2">
      <c r="A1" s="2"/>
      <c r="B1" s="2"/>
      <c r="C1" s="2"/>
      <c r="D1" s="2"/>
      <c r="E1" s="5" t="s">
        <v>1</v>
      </c>
      <c r="F1" s="5" t="s">
        <v>2</v>
      </c>
      <c r="G1" s="5" t="s">
        <v>14</v>
      </c>
      <c r="H1" s="5" t="s">
        <v>0</v>
      </c>
      <c r="I1" s="5" t="s">
        <v>3</v>
      </c>
    </row>
    <row r="2" spans="1:10" x14ac:dyDescent="0.2">
      <c r="A2" s="2"/>
      <c r="B2" s="2"/>
      <c r="C2" s="2"/>
      <c r="D2" s="2"/>
      <c r="E2" s="3">
        <v>34</v>
      </c>
      <c r="F2" s="3">
        <v>0</v>
      </c>
      <c r="G2" s="1">
        <v>92</v>
      </c>
      <c r="H2" s="1">
        <f>E2+F2+G2</f>
        <v>126</v>
      </c>
      <c r="I2" s="3" t="s">
        <v>4</v>
      </c>
      <c r="J2" s="45">
        <v>5</v>
      </c>
    </row>
    <row r="3" spans="1:10" x14ac:dyDescent="0.2">
      <c r="A3" s="2"/>
      <c r="B3" s="2"/>
      <c r="C3" s="2"/>
      <c r="D3" s="2"/>
      <c r="E3" s="2"/>
      <c r="F3" s="2"/>
    </row>
    <row r="4" spans="1:10" x14ac:dyDescent="0.2">
      <c r="A4" s="6" t="s">
        <v>7</v>
      </c>
      <c r="B4" s="6" t="s">
        <v>23</v>
      </c>
      <c r="C4" s="6" t="s">
        <v>6</v>
      </c>
      <c r="D4" s="6"/>
      <c r="E4" s="6" t="s">
        <v>8</v>
      </c>
      <c r="F4" s="6" t="s">
        <v>9</v>
      </c>
      <c r="G4" s="6" t="s">
        <v>10</v>
      </c>
      <c r="H4" s="6" t="s">
        <v>0</v>
      </c>
      <c r="I4" s="17" t="s">
        <v>28</v>
      </c>
    </row>
    <row r="5" spans="1:10" x14ac:dyDescent="0.2">
      <c r="A5" s="3" t="s">
        <v>1</v>
      </c>
      <c r="B5" s="3"/>
      <c r="C5" s="1"/>
      <c r="D5" s="1" t="s">
        <v>5</v>
      </c>
      <c r="E5" s="1">
        <v>2024666</v>
      </c>
      <c r="F5" s="1">
        <v>2024699</v>
      </c>
      <c r="G5" s="11">
        <f>(F5-E5)+1</f>
        <v>34</v>
      </c>
      <c r="H5" s="5">
        <f>G5</f>
        <v>34</v>
      </c>
      <c r="I5" s="22">
        <v>34</v>
      </c>
    </row>
    <row r="7" spans="1:10" x14ac:dyDescent="0.2">
      <c r="A7" s="6" t="s">
        <v>7</v>
      </c>
      <c r="B7" s="6" t="s">
        <v>23</v>
      </c>
      <c r="C7" s="6"/>
      <c r="D7" s="6"/>
      <c r="E7" s="6" t="s">
        <v>8</v>
      </c>
      <c r="F7" s="6" t="s">
        <v>9</v>
      </c>
      <c r="G7" s="6" t="s">
        <v>10</v>
      </c>
      <c r="H7" s="6" t="s">
        <v>0</v>
      </c>
      <c r="I7" s="6" t="s">
        <v>12</v>
      </c>
    </row>
    <row r="8" spans="1:10" x14ac:dyDescent="0.2">
      <c r="A8" s="3" t="s">
        <v>11</v>
      </c>
      <c r="B8" s="3"/>
      <c r="C8" s="1"/>
      <c r="D8" s="1" t="s">
        <v>5</v>
      </c>
      <c r="E8" s="1"/>
      <c r="F8" s="1"/>
      <c r="G8" s="1"/>
      <c r="H8" s="1"/>
      <c r="I8" s="1"/>
    </row>
    <row r="9" spans="1:10" x14ac:dyDescent="0.2">
      <c r="A9" s="3" t="s">
        <v>11</v>
      </c>
      <c r="B9" s="3"/>
      <c r="C9" s="1"/>
      <c r="D9" s="1" t="s">
        <v>5</v>
      </c>
      <c r="E9" s="1"/>
      <c r="F9" s="1"/>
      <c r="G9" s="1"/>
      <c r="H9" s="1"/>
      <c r="I9" s="1"/>
    </row>
    <row r="10" spans="1:10" x14ac:dyDescent="0.2">
      <c r="A10" s="3" t="s">
        <v>11</v>
      </c>
      <c r="B10" s="3"/>
      <c r="C10" s="1"/>
      <c r="D10" s="1" t="s">
        <v>5</v>
      </c>
      <c r="E10" s="1"/>
      <c r="F10" s="1"/>
      <c r="G10" s="1"/>
      <c r="H10" s="1"/>
      <c r="I10" s="1"/>
    </row>
    <row r="11" spans="1:10" x14ac:dyDescent="0.2">
      <c r="A11" s="3" t="s">
        <v>11</v>
      </c>
      <c r="B11" s="3"/>
      <c r="C11" s="1"/>
      <c r="D11" s="1" t="s">
        <v>5</v>
      </c>
      <c r="E11" s="1"/>
      <c r="F11" s="1"/>
      <c r="G11" s="1"/>
      <c r="H11" s="1"/>
      <c r="I11" s="1"/>
    </row>
    <row r="12" spans="1:10" x14ac:dyDescent="0.2">
      <c r="A12" s="3" t="s">
        <v>11</v>
      </c>
      <c r="B12" s="3"/>
      <c r="C12" s="1"/>
      <c r="D12" s="1" t="s">
        <v>5</v>
      </c>
      <c r="E12" s="1"/>
      <c r="F12" s="1"/>
      <c r="G12" s="1"/>
      <c r="H12" s="1"/>
      <c r="I12" s="1"/>
    </row>
    <row r="13" spans="1:10" x14ac:dyDescent="0.2">
      <c r="A13" s="3" t="s">
        <v>11</v>
      </c>
      <c r="B13" s="3"/>
      <c r="C13" s="1"/>
      <c r="D13" s="1" t="s">
        <v>5</v>
      </c>
      <c r="E13" s="1"/>
      <c r="F13" s="1"/>
      <c r="G13" s="1"/>
      <c r="H13" s="1"/>
      <c r="I13" s="1"/>
    </row>
    <row r="14" spans="1:10" x14ac:dyDescent="0.2">
      <c r="A14" s="3" t="s">
        <v>11</v>
      </c>
      <c r="B14" s="3"/>
      <c r="C14" s="1"/>
      <c r="D14" s="1" t="s">
        <v>5</v>
      </c>
      <c r="E14" s="1"/>
      <c r="F14" s="1"/>
      <c r="G14" s="1"/>
      <c r="H14" s="1"/>
      <c r="I14" s="1"/>
    </row>
    <row r="15" spans="1:10" x14ac:dyDescent="0.2">
      <c r="A15" s="3" t="s">
        <v>11</v>
      </c>
      <c r="B15" s="3"/>
      <c r="C15" s="1"/>
      <c r="D15" s="1" t="s">
        <v>5</v>
      </c>
      <c r="E15" s="1"/>
      <c r="F15" s="1"/>
      <c r="G15" s="1"/>
      <c r="H15" s="1"/>
      <c r="I15" s="1"/>
    </row>
    <row r="16" spans="1:10" x14ac:dyDescent="0.2">
      <c r="A16" s="3" t="s">
        <v>11</v>
      </c>
      <c r="B16" s="3"/>
      <c r="C16" s="1"/>
      <c r="D16" s="1" t="s">
        <v>5</v>
      </c>
      <c r="E16" s="1"/>
      <c r="F16" s="1"/>
      <c r="G16" s="1"/>
      <c r="H16" s="1"/>
      <c r="I16" s="1"/>
    </row>
    <row r="17" spans="1:11" x14ac:dyDescent="0.2">
      <c r="A17" s="3" t="s">
        <v>11</v>
      </c>
      <c r="B17" s="3"/>
      <c r="C17" s="1"/>
      <c r="D17" s="1" t="s">
        <v>5</v>
      </c>
      <c r="E17" s="1"/>
      <c r="F17" s="1"/>
      <c r="G17" s="1"/>
      <c r="H17" s="1"/>
      <c r="I17" s="1"/>
    </row>
    <row r="18" spans="1:11" x14ac:dyDescent="0.2">
      <c r="A18" s="3" t="s">
        <v>11</v>
      </c>
      <c r="B18" s="3"/>
      <c r="C18" s="1"/>
      <c r="D18" s="1" t="s">
        <v>5</v>
      </c>
      <c r="E18" s="1"/>
      <c r="F18" s="1"/>
      <c r="G18" s="1"/>
      <c r="H18" s="1"/>
      <c r="I18" s="1"/>
    </row>
    <row r="19" spans="1:11" x14ac:dyDescent="0.2">
      <c r="A19" s="3" t="s">
        <v>11</v>
      </c>
      <c r="B19" s="3"/>
      <c r="C19" s="1"/>
      <c r="D19" s="1" t="s">
        <v>5</v>
      </c>
      <c r="E19" s="1"/>
      <c r="F19" s="1"/>
      <c r="G19" s="1"/>
      <c r="H19" s="1"/>
      <c r="I19" s="1"/>
    </row>
    <row r="21" spans="1:11" x14ac:dyDescent="0.2">
      <c r="A21" s="6" t="s">
        <v>7</v>
      </c>
      <c r="B21" s="6" t="s">
        <v>23</v>
      </c>
      <c r="C21" s="6" t="s">
        <v>15</v>
      </c>
      <c r="D21" s="6"/>
      <c r="E21" s="6" t="s">
        <v>8</v>
      </c>
      <c r="F21" s="6" t="s">
        <v>9</v>
      </c>
      <c r="G21" s="6" t="s">
        <v>10</v>
      </c>
      <c r="H21" s="6" t="s">
        <v>0</v>
      </c>
      <c r="I21" s="6" t="s">
        <v>13</v>
      </c>
      <c r="J21" s="17" t="s">
        <v>45</v>
      </c>
    </row>
    <row r="22" spans="1:11" x14ac:dyDescent="0.2">
      <c r="A22" s="3" t="s">
        <v>14</v>
      </c>
      <c r="B22" s="18">
        <v>2080060000000</v>
      </c>
      <c r="C22" s="1">
        <v>2</v>
      </c>
      <c r="D22" s="1"/>
      <c r="E22" s="1">
        <v>1899365</v>
      </c>
      <c r="F22" s="1">
        <v>1899439</v>
      </c>
      <c r="G22" s="1">
        <f>(F22-E22)+1</f>
        <v>75</v>
      </c>
      <c r="H22" s="1">
        <f>G22</f>
        <v>75</v>
      </c>
      <c r="I22" s="1" t="s">
        <v>21</v>
      </c>
      <c r="J22">
        <v>74</v>
      </c>
    </row>
    <row r="23" spans="1:11" x14ac:dyDescent="0.2">
      <c r="A23" s="3"/>
      <c r="B23" s="18"/>
      <c r="C23" s="1"/>
      <c r="D23" s="1"/>
      <c r="E23" s="1"/>
      <c r="F23" s="1"/>
      <c r="G23" s="1"/>
      <c r="H23" s="1"/>
      <c r="I23" s="1"/>
      <c r="J23" s="15">
        <f>H22-J22</f>
        <v>1</v>
      </c>
    </row>
    <row r="24" spans="1:11" x14ac:dyDescent="0.2">
      <c r="A24" s="3" t="s">
        <v>14</v>
      </c>
      <c r="B24" s="18">
        <v>2080060000001</v>
      </c>
      <c r="C24" s="1">
        <v>2</v>
      </c>
      <c r="D24" s="1"/>
      <c r="E24" s="1">
        <v>1808902</v>
      </c>
      <c r="F24" s="1">
        <v>1808903</v>
      </c>
      <c r="G24" s="1">
        <f>(F24-E24)+1</f>
        <v>2</v>
      </c>
      <c r="H24" s="1">
        <f>G24</f>
        <v>2</v>
      </c>
      <c r="I24" s="1" t="s">
        <v>53</v>
      </c>
      <c r="J24">
        <v>7</v>
      </c>
      <c r="K24" t="s">
        <v>30</v>
      </c>
    </row>
    <row r="25" spans="1:11" x14ac:dyDescent="0.2">
      <c r="A25" s="3" t="s">
        <v>14</v>
      </c>
      <c r="B25" s="18">
        <v>2080060000001</v>
      </c>
      <c r="C25" s="1">
        <v>2</v>
      </c>
      <c r="D25" s="1"/>
      <c r="E25" s="1">
        <v>1808906</v>
      </c>
      <c r="F25" s="1">
        <v>1808910</v>
      </c>
      <c r="G25" s="1">
        <f>(F25-E25)+1</f>
        <v>5</v>
      </c>
      <c r="H25" s="1">
        <f>G25+H24</f>
        <v>7</v>
      </c>
      <c r="I25" s="1" t="s">
        <v>53</v>
      </c>
      <c r="J25" s="21">
        <f>H25-J24</f>
        <v>0</v>
      </c>
    </row>
    <row r="26" spans="1:11" x14ac:dyDescent="0.2">
      <c r="A26" s="3"/>
      <c r="B26" s="18"/>
      <c r="C26" s="1"/>
      <c r="D26" s="1"/>
      <c r="E26" s="1"/>
      <c r="F26" s="1"/>
      <c r="G26" s="1"/>
      <c r="H26" s="1"/>
      <c r="I26" s="1"/>
    </row>
    <row r="28" spans="1:11" x14ac:dyDescent="0.2">
      <c r="A28" s="6" t="s">
        <v>7</v>
      </c>
      <c r="B28" s="6" t="s">
        <v>23</v>
      </c>
      <c r="C28" s="6" t="s">
        <v>15</v>
      </c>
      <c r="D28" s="6"/>
      <c r="E28" s="6" t="s">
        <v>8</v>
      </c>
      <c r="F28" s="6" t="s">
        <v>9</v>
      </c>
      <c r="G28" s="6" t="s">
        <v>10</v>
      </c>
      <c r="H28" s="6" t="s">
        <v>0</v>
      </c>
      <c r="I28" s="6" t="s">
        <v>13</v>
      </c>
      <c r="J28" s="17" t="s">
        <v>45</v>
      </c>
    </row>
    <row r="29" spans="1:11" x14ac:dyDescent="0.2">
      <c r="A29" s="3" t="s">
        <v>14</v>
      </c>
      <c r="B29" s="18">
        <v>2080070000000</v>
      </c>
      <c r="C29" s="1">
        <v>5</v>
      </c>
      <c r="D29" s="1"/>
      <c r="E29" s="1">
        <v>1899165</v>
      </c>
      <c r="F29" s="1">
        <v>1899210</v>
      </c>
      <c r="G29" s="1">
        <f>(F29-E29)+1</f>
        <v>46</v>
      </c>
      <c r="H29" s="1">
        <f>G29</f>
        <v>46</v>
      </c>
      <c r="I29" s="1" t="s">
        <v>54</v>
      </c>
      <c r="J29">
        <v>46</v>
      </c>
    </row>
    <row r="30" spans="1:11" x14ac:dyDescent="0.2">
      <c r="A30" s="3"/>
      <c r="B30" s="18"/>
      <c r="C30" s="1"/>
      <c r="D30" s="1"/>
      <c r="E30" s="1"/>
      <c r="F30" s="1"/>
      <c r="G30" s="1"/>
      <c r="H30" s="1"/>
      <c r="I30" s="1"/>
      <c r="J30" s="21">
        <f>H29-J29</f>
        <v>0</v>
      </c>
    </row>
    <row r="31" spans="1:11" x14ac:dyDescent="0.2">
      <c r="A31" s="3"/>
      <c r="B31" s="18"/>
      <c r="C31" s="1"/>
      <c r="D31" s="1"/>
      <c r="E31" s="1"/>
      <c r="F31" s="1"/>
      <c r="G31" s="1"/>
      <c r="H31" s="1"/>
      <c r="I31" s="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12.5" customWidth="1"/>
    <col min="2" max="2" width="16.6640625" bestFit="1" customWidth="1"/>
    <col min="4" max="4" width="5.83203125" customWidth="1"/>
    <col min="9" max="9" width="18" customWidth="1"/>
  </cols>
  <sheetData>
    <row r="1" spans="1:11" x14ac:dyDescent="0.2">
      <c r="A1" s="2"/>
      <c r="B1" s="2"/>
      <c r="C1" s="2"/>
      <c r="D1" s="2"/>
      <c r="E1" s="5" t="s">
        <v>1</v>
      </c>
      <c r="F1" s="5" t="s">
        <v>2</v>
      </c>
      <c r="G1" s="5" t="s">
        <v>14</v>
      </c>
      <c r="H1" s="5" t="s">
        <v>0</v>
      </c>
      <c r="I1" s="5" t="s">
        <v>3</v>
      </c>
    </row>
    <row r="2" spans="1:11" x14ac:dyDescent="0.2">
      <c r="A2" s="2"/>
      <c r="B2" s="2"/>
      <c r="C2" s="2"/>
      <c r="D2" s="2"/>
      <c r="E2" s="3">
        <v>16</v>
      </c>
      <c r="F2" s="3">
        <v>136</v>
      </c>
      <c r="G2" s="1">
        <v>1</v>
      </c>
      <c r="H2" s="11">
        <f>E2+F2+G2</f>
        <v>153</v>
      </c>
      <c r="I2" s="3" t="s">
        <v>31</v>
      </c>
      <c r="J2" s="45">
        <v>22</v>
      </c>
    </row>
    <row r="3" spans="1:11" x14ac:dyDescent="0.2">
      <c r="A3" s="2"/>
      <c r="B3" s="2"/>
      <c r="C3" s="2"/>
      <c r="D3" s="2"/>
      <c r="E3" s="2"/>
      <c r="F3" s="2"/>
    </row>
    <row r="4" spans="1:11" x14ac:dyDescent="0.2">
      <c r="A4" s="6" t="s">
        <v>7</v>
      </c>
      <c r="B4" s="6" t="s">
        <v>23</v>
      </c>
      <c r="C4" s="6" t="s">
        <v>6</v>
      </c>
      <c r="D4" s="6"/>
      <c r="E4" s="6" t="s">
        <v>8</v>
      </c>
      <c r="F4" s="6" t="s">
        <v>9</v>
      </c>
      <c r="G4" s="6" t="s">
        <v>10</v>
      </c>
      <c r="H4" s="6" t="s">
        <v>0</v>
      </c>
      <c r="I4" s="17" t="s">
        <v>34</v>
      </c>
    </row>
    <row r="5" spans="1:11" x14ac:dyDescent="0.2">
      <c r="A5" s="3" t="s">
        <v>1</v>
      </c>
      <c r="B5" s="3"/>
      <c r="C5" s="1"/>
      <c r="D5" s="1" t="s">
        <v>5</v>
      </c>
      <c r="E5" s="1">
        <v>2034724</v>
      </c>
      <c r="F5" s="1">
        <v>2034739</v>
      </c>
      <c r="G5" s="1">
        <f>(F5-E5)+1</f>
        <v>16</v>
      </c>
      <c r="H5" s="11">
        <f>G5</f>
        <v>16</v>
      </c>
      <c r="I5" s="21">
        <v>16</v>
      </c>
    </row>
    <row r="7" spans="1:11" x14ac:dyDescent="0.2">
      <c r="A7" s="6" t="s">
        <v>7</v>
      </c>
      <c r="B7" s="6" t="s">
        <v>23</v>
      </c>
      <c r="C7" s="6" t="s">
        <v>15</v>
      </c>
      <c r="D7" s="6"/>
      <c r="E7" s="6" t="s">
        <v>8</v>
      </c>
      <c r="F7" s="6" t="s">
        <v>9</v>
      </c>
      <c r="G7" s="6" t="s">
        <v>10</v>
      </c>
      <c r="H7" s="6" t="s">
        <v>0</v>
      </c>
      <c r="I7" s="6" t="s">
        <v>12</v>
      </c>
      <c r="J7" s="17" t="s">
        <v>28</v>
      </c>
    </row>
    <row r="8" spans="1:11" x14ac:dyDescent="0.2">
      <c r="A8" s="3" t="s">
        <v>11</v>
      </c>
      <c r="B8" s="18">
        <v>2080170200000</v>
      </c>
      <c r="C8" s="20" t="s">
        <v>33</v>
      </c>
      <c r="D8" s="1" t="s">
        <v>5</v>
      </c>
      <c r="E8" s="1">
        <v>1820787</v>
      </c>
      <c r="F8" s="1">
        <v>1820798</v>
      </c>
      <c r="G8" s="1">
        <f>(F8-E8)+1</f>
        <v>12</v>
      </c>
      <c r="H8" s="1">
        <f>G8</f>
        <v>12</v>
      </c>
      <c r="I8" s="1" t="s">
        <v>32</v>
      </c>
      <c r="J8">
        <v>136</v>
      </c>
    </row>
    <row r="9" spans="1:11" x14ac:dyDescent="0.2">
      <c r="A9" s="3" t="s">
        <v>11</v>
      </c>
      <c r="B9" s="18">
        <v>2080170200000</v>
      </c>
      <c r="C9" s="20" t="s">
        <v>33</v>
      </c>
      <c r="D9" s="1" t="s">
        <v>5</v>
      </c>
      <c r="E9" s="1">
        <v>1887800</v>
      </c>
      <c r="F9" s="1">
        <v>1887899</v>
      </c>
      <c r="G9" s="1">
        <f>(F9-E9)+1</f>
        <v>100</v>
      </c>
      <c r="H9" s="1">
        <f t="shared" ref="H9:H10" si="0">H8+G9</f>
        <v>112</v>
      </c>
      <c r="I9" s="1" t="s">
        <v>32</v>
      </c>
    </row>
    <row r="10" spans="1:11" x14ac:dyDescent="0.2">
      <c r="A10" s="3" t="s">
        <v>11</v>
      </c>
      <c r="B10" s="18">
        <v>2080170200000</v>
      </c>
      <c r="C10" s="20" t="s">
        <v>33</v>
      </c>
      <c r="D10" s="1" t="s">
        <v>5</v>
      </c>
      <c r="E10" s="1">
        <v>2034700</v>
      </c>
      <c r="F10" s="1">
        <v>2034723</v>
      </c>
      <c r="G10" s="1">
        <f>(F10-E10)+1</f>
        <v>24</v>
      </c>
      <c r="H10" s="4">
        <f t="shared" si="0"/>
        <v>136</v>
      </c>
      <c r="I10" s="1" t="s">
        <v>32</v>
      </c>
      <c r="J10" s="23">
        <f>H10-J8</f>
        <v>0</v>
      </c>
    </row>
    <row r="12" spans="1:11" x14ac:dyDescent="0.2">
      <c r="A12" s="6" t="s">
        <v>7</v>
      </c>
      <c r="B12" s="6" t="s">
        <v>23</v>
      </c>
      <c r="C12" s="6" t="s">
        <v>15</v>
      </c>
      <c r="D12" s="6"/>
      <c r="E12" s="6" t="s">
        <v>8</v>
      </c>
      <c r="F12" s="6" t="s">
        <v>9</v>
      </c>
      <c r="G12" s="6" t="s">
        <v>10</v>
      </c>
      <c r="H12" s="6" t="s">
        <v>0</v>
      </c>
      <c r="I12" s="6" t="s">
        <v>13</v>
      </c>
      <c r="J12" s="17" t="s">
        <v>28</v>
      </c>
    </row>
    <row r="13" spans="1:11" x14ac:dyDescent="0.2">
      <c r="A13" s="3" t="s">
        <v>14</v>
      </c>
      <c r="B13" s="16">
        <v>20801702</v>
      </c>
      <c r="C13" s="1">
        <v>9</v>
      </c>
      <c r="D13" s="1"/>
      <c r="E13" s="1">
        <v>1820756</v>
      </c>
      <c r="F13" s="1">
        <v>1820756</v>
      </c>
      <c r="G13" s="1">
        <f>(F13-E13)+1</f>
        <v>1</v>
      </c>
      <c r="H13" s="11">
        <f>G13</f>
        <v>1</v>
      </c>
      <c r="I13" s="1" t="s">
        <v>22</v>
      </c>
      <c r="J13">
        <v>1</v>
      </c>
      <c r="K13" s="23">
        <f>H13-J13</f>
        <v>0</v>
      </c>
    </row>
    <row r="15" spans="1:11" x14ac:dyDescent="0.2">
      <c r="A15" s="3" t="s">
        <v>14</v>
      </c>
      <c r="B15" s="35">
        <v>2080924700000</v>
      </c>
      <c r="C15" s="1">
        <v>2</v>
      </c>
      <c r="D15" s="1"/>
      <c r="E15" s="1">
        <v>1820781</v>
      </c>
      <c r="F15" s="1">
        <v>1820781</v>
      </c>
      <c r="G15" s="1">
        <f>(F15-E15)+1</f>
        <v>1</v>
      </c>
      <c r="H15" s="1">
        <f>G15</f>
        <v>1</v>
      </c>
      <c r="I15" s="1" t="s">
        <v>26</v>
      </c>
      <c r="J15">
        <v>16</v>
      </c>
    </row>
    <row r="16" spans="1:11" x14ac:dyDescent="0.2">
      <c r="A16" s="3" t="s">
        <v>14</v>
      </c>
      <c r="B16" s="35">
        <v>2080924700000</v>
      </c>
      <c r="C16" s="1">
        <v>2</v>
      </c>
      <c r="D16" s="1"/>
      <c r="E16" s="1">
        <v>1820784</v>
      </c>
      <c r="F16" s="1">
        <v>1820784</v>
      </c>
      <c r="G16" s="1">
        <f>(F16-E16)+1</f>
        <v>1</v>
      </c>
      <c r="H16" s="1">
        <f>H15+G16</f>
        <v>2</v>
      </c>
      <c r="I16" s="1" t="s">
        <v>26</v>
      </c>
    </row>
    <row r="17" spans="1:11" x14ac:dyDescent="0.2">
      <c r="A17" s="3" t="s">
        <v>14</v>
      </c>
      <c r="B17" s="35">
        <v>2080924700000</v>
      </c>
      <c r="C17" s="1">
        <v>2</v>
      </c>
      <c r="D17" s="1"/>
      <c r="E17" s="1">
        <v>1820785</v>
      </c>
      <c r="F17" s="1">
        <v>1820785</v>
      </c>
      <c r="G17" s="1">
        <f t="shared" ref="G17:G30" si="1">(F17-E17)+1</f>
        <v>1</v>
      </c>
      <c r="H17" s="1">
        <f>H16+G17</f>
        <v>3</v>
      </c>
      <c r="I17" s="1" t="s">
        <v>26</v>
      </c>
    </row>
    <row r="18" spans="1:11" x14ac:dyDescent="0.2">
      <c r="A18" s="3" t="s">
        <v>14</v>
      </c>
      <c r="B18" s="35">
        <v>2080924700000</v>
      </c>
      <c r="C18" s="1">
        <v>2</v>
      </c>
      <c r="D18" s="1"/>
      <c r="E18" s="1">
        <v>1820773</v>
      </c>
      <c r="F18" s="1">
        <v>1820773</v>
      </c>
      <c r="G18" s="1">
        <f t="shared" si="1"/>
        <v>1</v>
      </c>
      <c r="H18" s="1">
        <f>H17+G18</f>
        <v>4</v>
      </c>
      <c r="I18" s="1" t="s">
        <v>26</v>
      </c>
    </row>
    <row r="19" spans="1:11" x14ac:dyDescent="0.2">
      <c r="A19" s="3" t="s">
        <v>14</v>
      </c>
      <c r="B19" s="35">
        <v>2080924700000</v>
      </c>
      <c r="C19" s="1">
        <v>2</v>
      </c>
      <c r="D19" s="1"/>
      <c r="E19" s="1">
        <v>1820786</v>
      </c>
      <c r="F19" s="1">
        <v>1820786</v>
      </c>
      <c r="G19" s="1">
        <f t="shared" si="1"/>
        <v>1</v>
      </c>
      <c r="H19" s="1">
        <f t="shared" ref="H19:H30" si="2">H18+G19</f>
        <v>5</v>
      </c>
      <c r="I19" s="1" t="s">
        <v>26</v>
      </c>
    </row>
    <row r="20" spans="1:11" x14ac:dyDescent="0.2">
      <c r="A20" s="3" t="s">
        <v>14</v>
      </c>
      <c r="B20" s="35">
        <v>2080924700000</v>
      </c>
      <c r="C20" s="1">
        <v>2</v>
      </c>
      <c r="D20" s="1"/>
      <c r="E20" s="1">
        <v>1820758</v>
      </c>
      <c r="F20" s="1">
        <v>1820758</v>
      </c>
      <c r="G20" s="1">
        <f t="shared" si="1"/>
        <v>1</v>
      </c>
      <c r="H20" s="1">
        <f t="shared" si="2"/>
        <v>6</v>
      </c>
      <c r="I20" s="1" t="s">
        <v>26</v>
      </c>
    </row>
    <row r="21" spans="1:11" x14ac:dyDescent="0.2">
      <c r="A21" s="3" t="s">
        <v>14</v>
      </c>
      <c r="B21" s="35">
        <v>2080924700000</v>
      </c>
      <c r="C21" s="1">
        <v>2</v>
      </c>
      <c r="D21" s="1"/>
      <c r="E21" s="1">
        <v>1820759</v>
      </c>
      <c r="F21" s="1">
        <v>1820759</v>
      </c>
      <c r="G21" s="1">
        <f t="shared" si="1"/>
        <v>1</v>
      </c>
      <c r="H21" s="1">
        <f t="shared" si="2"/>
        <v>7</v>
      </c>
      <c r="I21" s="1" t="s">
        <v>26</v>
      </c>
    </row>
    <row r="22" spans="1:11" x14ac:dyDescent="0.2">
      <c r="A22" s="3" t="s">
        <v>14</v>
      </c>
      <c r="B22" s="35">
        <v>2080924700000</v>
      </c>
      <c r="C22" s="1">
        <v>2</v>
      </c>
      <c r="D22" s="1"/>
      <c r="E22" s="1">
        <v>1820761</v>
      </c>
      <c r="F22" s="1">
        <v>1820761</v>
      </c>
      <c r="G22" s="1">
        <f t="shared" si="1"/>
        <v>1</v>
      </c>
      <c r="H22" s="1">
        <f t="shared" si="2"/>
        <v>8</v>
      </c>
      <c r="I22" s="1" t="s">
        <v>26</v>
      </c>
    </row>
    <row r="23" spans="1:11" x14ac:dyDescent="0.2">
      <c r="A23" s="3" t="s">
        <v>14</v>
      </c>
      <c r="B23" s="35">
        <v>2080924700000</v>
      </c>
      <c r="C23" s="1">
        <v>2</v>
      </c>
      <c r="D23" s="1"/>
      <c r="E23" s="1">
        <v>1820764</v>
      </c>
      <c r="F23" s="1">
        <v>1820764</v>
      </c>
      <c r="G23" s="1">
        <f t="shared" si="1"/>
        <v>1</v>
      </c>
      <c r="H23" s="1">
        <f t="shared" si="2"/>
        <v>9</v>
      </c>
      <c r="I23" s="1" t="s">
        <v>26</v>
      </c>
    </row>
    <row r="24" spans="1:11" x14ac:dyDescent="0.2">
      <c r="A24" s="3" t="s">
        <v>14</v>
      </c>
      <c r="B24" s="35">
        <v>2080924700000</v>
      </c>
      <c r="C24" s="1">
        <v>2</v>
      </c>
      <c r="D24" s="1"/>
      <c r="E24" s="1">
        <v>1820777</v>
      </c>
      <c r="F24" s="1">
        <v>1820777</v>
      </c>
      <c r="G24" s="1">
        <f t="shared" si="1"/>
        <v>1</v>
      </c>
      <c r="H24" s="1">
        <f t="shared" si="2"/>
        <v>10</v>
      </c>
      <c r="I24" s="1" t="s">
        <v>26</v>
      </c>
    </row>
    <row r="25" spans="1:11" x14ac:dyDescent="0.2">
      <c r="A25" s="3" t="s">
        <v>14</v>
      </c>
      <c r="B25" s="35">
        <v>2080924700000</v>
      </c>
      <c r="C25" s="1">
        <v>2</v>
      </c>
      <c r="D25" s="1"/>
      <c r="E25" s="1">
        <v>1820763</v>
      </c>
      <c r="F25" s="1">
        <v>1820763</v>
      </c>
      <c r="G25" s="1">
        <f t="shared" si="1"/>
        <v>1</v>
      </c>
      <c r="H25" s="1">
        <f t="shared" si="2"/>
        <v>11</v>
      </c>
      <c r="I25" s="1" t="s">
        <v>26</v>
      </c>
    </row>
    <row r="26" spans="1:11" x14ac:dyDescent="0.2">
      <c r="A26" s="3" t="s">
        <v>14</v>
      </c>
      <c r="B26" s="35">
        <v>2080924700000</v>
      </c>
      <c r="C26" s="1">
        <v>2</v>
      </c>
      <c r="D26" s="1"/>
      <c r="E26" s="1">
        <v>1820762</v>
      </c>
      <c r="F26" s="1">
        <v>1820762</v>
      </c>
      <c r="G26" s="1">
        <f t="shared" si="1"/>
        <v>1</v>
      </c>
      <c r="H26" s="1">
        <f t="shared" si="2"/>
        <v>12</v>
      </c>
      <c r="I26" s="1" t="s">
        <v>26</v>
      </c>
    </row>
    <row r="27" spans="1:11" x14ac:dyDescent="0.2">
      <c r="A27" s="3" t="s">
        <v>14</v>
      </c>
      <c r="B27" s="35">
        <v>2080924700000</v>
      </c>
      <c r="C27" s="1">
        <v>2</v>
      </c>
      <c r="D27" s="1"/>
      <c r="E27" s="1">
        <v>1820778</v>
      </c>
      <c r="F27" s="1">
        <v>1820778</v>
      </c>
      <c r="G27" s="1">
        <f t="shared" si="1"/>
        <v>1</v>
      </c>
      <c r="H27" s="1">
        <f t="shared" si="2"/>
        <v>13</v>
      </c>
      <c r="I27" s="1" t="s">
        <v>26</v>
      </c>
    </row>
    <row r="28" spans="1:11" x14ac:dyDescent="0.2">
      <c r="A28" s="3" t="s">
        <v>14</v>
      </c>
      <c r="B28" s="35">
        <v>2080924700000</v>
      </c>
      <c r="C28" s="1">
        <v>2</v>
      </c>
      <c r="D28" s="1"/>
      <c r="E28" s="1">
        <v>1820776</v>
      </c>
      <c r="F28" s="1">
        <v>1820776</v>
      </c>
      <c r="G28" s="1">
        <f t="shared" si="1"/>
        <v>1</v>
      </c>
      <c r="H28" s="1">
        <f t="shared" si="2"/>
        <v>14</v>
      </c>
      <c r="I28" s="1" t="s">
        <v>26</v>
      </c>
    </row>
    <row r="29" spans="1:11" x14ac:dyDescent="0.2">
      <c r="A29" s="3" t="s">
        <v>14</v>
      </c>
      <c r="B29" s="35">
        <v>2080924700000</v>
      </c>
      <c r="C29" s="1">
        <v>2</v>
      </c>
      <c r="D29" s="1"/>
      <c r="E29" s="1">
        <v>1820765</v>
      </c>
      <c r="F29" s="1">
        <v>1820765</v>
      </c>
      <c r="G29" s="1">
        <f t="shared" si="1"/>
        <v>1</v>
      </c>
      <c r="H29" s="1">
        <f t="shared" si="2"/>
        <v>15</v>
      </c>
      <c r="I29" s="1" t="s">
        <v>26</v>
      </c>
    </row>
    <row r="30" spans="1:11" x14ac:dyDescent="0.2">
      <c r="A30" s="3" t="s">
        <v>14</v>
      </c>
      <c r="B30" s="35">
        <v>2080924700000</v>
      </c>
      <c r="C30" s="1">
        <v>2</v>
      </c>
      <c r="D30" s="1"/>
      <c r="E30" s="1">
        <v>1820775</v>
      </c>
      <c r="F30" s="1">
        <v>1820775</v>
      </c>
      <c r="G30" s="1">
        <f t="shared" si="1"/>
        <v>1</v>
      </c>
      <c r="H30" s="1">
        <f t="shared" si="2"/>
        <v>16</v>
      </c>
      <c r="I30" s="1" t="s">
        <v>26</v>
      </c>
      <c r="J30" s="23">
        <f>H30-J15</f>
        <v>0</v>
      </c>
    </row>
    <row r="32" spans="1:11" x14ac:dyDescent="0.2">
      <c r="A32" s="3" t="s">
        <v>14</v>
      </c>
      <c r="B32" s="35">
        <v>2080430000000</v>
      </c>
      <c r="C32" s="1">
        <v>9</v>
      </c>
      <c r="D32" s="1"/>
      <c r="E32" s="1">
        <v>1262577</v>
      </c>
      <c r="F32" s="1">
        <v>1262577</v>
      </c>
      <c r="G32" s="1">
        <f>(F32-E32)+1</f>
        <v>1</v>
      </c>
      <c r="H32" s="1">
        <f>G32</f>
        <v>1</v>
      </c>
      <c r="I32" s="1" t="s">
        <v>41</v>
      </c>
      <c r="J32">
        <v>1</v>
      </c>
      <c r="K32" s="23">
        <f>H32-J32</f>
        <v>0</v>
      </c>
    </row>
    <row r="33" spans="1:9" x14ac:dyDescent="0.2">
      <c r="A33" s="3"/>
      <c r="B33" s="35"/>
      <c r="C33" s="1"/>
      <c r="D33" s="1"/>
      <c r="E33" s="1"/>
      <c r="F33" s="1"/>
      <c r="G33" s="1"/>
      <c r="H33" s="1"/>
      <c r="I33" s="1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5"/>
  <sheetViews>
    <sheetView workbookViewId="0">
      <selection activeCell="J31" sqref="J31"/>
    </sheetView>
  </sheetViews>
  <sheetFormatPr baseColWidth="10" defaultColWidth="8.83203125" defaultRowHeight="15" x14ac:dyDescent="0.2"/>
  <cols>
    <col min="1" max="1" width="14.5" customWidth="1"/>
    <col min="2" max="2" width="14.1640625" bestFit="1" customWidth="1"/>
    <col min="3" max="3" width="6" customWidth="1"/>
    <col min="8" max="8" width="10.1640625" customWidth="1"/>
    <col min="9" max="9" width="16" bestFit="1" customWidth="1"/>
  </cols>
  <sheetData>
    <row r="1" spans="1:14" x14ac:dyDescent="0.2">
      <c r="A1" s="2"/>
      <c r="B1" s="2"/>
      <c r="C1" s="2"/>
      <c r="D1" s="5" t="s">
        <v>1</v>
      </c>
      <c r="E1" s="5" t="s">
        <v>2</v>
      </c>
      <c r="F1" s="5" t="s">
        <v>14</v>
      </c>
      <c r="G1" s="5" t="s">
        <v>0</v>
      </c>
      <c r="H1" s="5" t="s">
        <v>3</v>
      </c>
    </row>
    <row r="2" spans="1:14" x14ac:dyDescent="0.2">
      <c r="A2" s="2"/>
      <c r="B2" s="2"/>
      <c r="C2" s="2"/>
      <c r="D2" s="3">
        <v>619</v>
      </c>
      <c r="E2" s="3">
        <v>0</v>
      </c>
      <c r="F2" s="1"/>
      <c r="G2" s="1">
        <f>D2+E2+F2</f>
        <v>619</v>
      </c>
      <c r="H2" s="3" t="s">
        <v>31</v>
      </c>
      <c r="I2">
        <v>16</v>
      </c>
    </row>
    <row r="3" spans="1:14" x14ac:dyDescent="0.2">
      <c r="A3" s="2"/>
      <c r="B3" s="2"/>
      <c r="C3" s="2"/>
      <c r="D3" s="2"/>
      <c r="E3" s="2"/>
    </row>
    <row r="4" spans="1:14" x14ac:dyDescent="0.2">
      <c r="A4" s="6" t="s">
        <v>7</v>
      </c>
      <c r="B4" s="6" t="s">
        <v>23</v>
      </c>
      <c r="C4" s="6"/>
      <c r="D4" s="6" t="s">
        <v>8</v>
      </c>
      <c r="E4" s="6" t="s">
        <v>9</v>
      </c>
      <c r="F4" s="6" t="s">
        <v>10</v>
      </c>
      <c r="G4" s="6" t="s">
        <v>0</v>
      </c>
      <c r="H4" s="17" t="s">
        <v>34</v>
      </c>
    </row>
    <row r="5" spans="1:14" x14ac:dyDescent="0.2">
      <c r="A5" s="3" t="s">
        <v>1</v>
      </c>
      <c r="B5" s="1"/>
      <c r="C5" s="1" t="s">
        <v>5</v>
      </c>
      <c r="D5" s="1">
        <v>1721480</v>
      </c>
      <c r="E5" s="1">
        <v>1721598</v>
      </c>
      <c r="F5" s="1">
        <f>(E5-D5)+1</f>
        <v>119</v>
      </c>
      <c r="G5" s="1"/>
      <c r="H5" s="21">
        <v>619</v>
      </c>
    </row>
    <row r="6" spans="1:14" x14ac:dyDescent="0.2">
      <c r="A6" s="3" t="s">
        <v>1</v>
      </c>
      <c r="B6" s="1"/>
      <c r="C6" s="1" t="s">
        <v>5</v>
      </c>
      <c r="D6" s="1">
        <v>1844799</v>
      </c>
      <c r="E6" s="1">
        <v>1845000</v>
      </c>
      <c r="F6" s="1">
        <f>(E6-D6)+1</f>
        <v>202</v>
      </c>
      <c r="G6" s="1">
        <f>F5+F6</f>
        <v>321</v>
      </c>
    </row>
    <row r="7" spans="1:14" x14ac:dyDescent="0.2">
      <c r="A7" s="3" t="s">
        <v>1</v>
      </c>
      <c r="B7" s="1"/>
      <c r="C7" s="1" t="s">
        <v>5</v>
      </c>
      <c r="D7" s="1">
        <v>1845001</v>
      </c>
      <c r="E7" s="1">
        <v>1845298</v>
      </c>
      <c r="F7" s="1">
        <f>(E7-D7)+1</f>
        <v>298</v>
      </c>
      <c r="G7" s="11">
        <f>G6+F7</f>
        <v>619</v>
      </c>
    </row>
    <row r="9" spans="1:14" x14ac:dyDescent="0.2">
      <c r="A9" s="6" t="s">
        <v>7</v>
      </c>
      <c r="B9" s="6" t="s">
        <v>23</v>
      </c>
      <c r="C9" s="6" t="s">
        <v>15</v>
      </c>
      <c r="D9" s="6" t="s">
        <v>8</v>
      </c>
      <c r="E9" s="6" t="s">
        <v>9</v>
      </c>
      <c r="F9" s="6" t="s">
        <v>10</v>
      </c>
      <c r="G9" s="6" t="s">
        <v>0</v>
      </c>
      <c r="H9" s="6" t="s">
        <v>12</v>
      </c>
    </row>
    <row r="10" spans="1:14" x14ac:dyDescent="0.2">
      <c r="A10" s="3" t="s">
        <v>11</v>
      </c>
      <c r="B10" s="1"/>
      <c r="C10" s="1"/>
      <c r="D10" s="1"/>
      <c r="E10" s="1"/>
      <c r="F10" s="1"/>
      <c r="G10" s="1">
        <f>F10</f>
        <v>0</v>
      </c>
      <c r="H10" s="1"/>
    </row>
    <row r="11" spans="1:14" x14ac:dyDescent="0.2">
      <c r="A11" s="3" t="s">
        <v>11</v>
      </c>
      <c r="B11" s="1"/>
      <c r="C11" s="1"/>
      <c r="D11" s="1"/>
      <c r="E11" s="1"/>
      <c r="F11" s="1"/>
      <c r="G11" s="1">
        <f t="shared" ref="G11:G18" si="0">G10+F11</f>
        <v>0</v>
      </c>
      <c r="H11" s="1"/>
    </row>
    <row r="12" spans="1:14" x14ac:dyDescent="0.2">
      <c r="A12" s="3" t="s">
        <v>11</v>
      </c>
      <c r="B12" s="1"/>
      <c r="C12" s="1"/>
      <c r="D12" s="1"/>
      <c r="E12" s="1"/>
      <c r="F12" s="1"/>
      <c r="G12" s="1">
        <f t="shared" si="0"/>
        <v>0</v>
      </c>
      <c r="H12" s="1"/>
      <c r="N12" t="s">
        <v>17</v>
      </c>
    </row>
    <row r="13" spans="1:14" x14ac:dyDescent="0.2">
      <c r="A13" s="3" t="s">
        <v>11</v>
      </c>
      <c r="B13" s="1"/>
      <c r="C13" s="1"/>
      <c r="D13" s="1"/>
      <c r="E13" s="1"/>
      <c r="F13" s="1"/>
      <c r="G13" s="1">
        <f t="shared" si="0"/>
        <v>0</v>
      </c>
      <c r="H13" s="1"/>
    </row>
    <row r="14" spans="1:14" x14ac:dyDescent="0.2">
      <c r="A14" s="3" t="s">
        <v>11</v>
      </c>
      <c r="B14" s="1"/>
      <c r="C14" s="1"/>
      <c r="D14" s="1"/>
      <c r="E14" s="1"/>
      <c r="F14" s="1"/>
      <c r="G14" s="1">
        <f t="shared" si="0"/>
        <v>0</v>
      </c>
      <c r="H14" s="1"/>
    </row>
    <row r="15" spans="1:14" x14ac:dyDescent="0.2">
      <c r="A15" s="3" t="s">
        <v>11</v>
      </c>
      <c r="B15" s="1"/>
      <c r="C15" s="1"/>
      <c r="D15" s="1"/>
      <c r="E15" s="1"/>
      <c r="F15" s="1"/>
      <c r="G15" s="1">
        <f t="shared" si="0"/>
        <v>0</v>
      </c>
      <c r="H15" s="1"/>
    </row>
    <row r="16" spans="1:14" x14ac:dyDescent="0.2">
      <c r="A16" s="3" t="s">
        <v>11</v>
      </c>
      <c r="B16" s="1"/>
      <c r="C16" s="1"/>
      <c r="D16" s="1"/>
      <c r="E16" s="1"/>
      <c r="F16" s="1"/>
      <c r="G16" s="1">
        <f t="shared" si="0"/>
        <v>0</v>
      </c>
      <c r="H16" s="1"/>
    </row>
    <row r="17" spans="1:9" x14ac:dyDescent="0.2">
      <c r="A17" s="3" t="s">
        <v>11</v>
      </c>
      <c r="B17" s="1"/>
      <c r="C17" s="1"/>
      <c r="D17" s="1"/>
      <c r="E17" s="1"/>
      <c r="F17" s="1"/>
      <c r="G17" s="1">
        <f t="shared" si="0"/>
        <v>0</v>
      </c>
      <c r="H17" s="1"/>
    </row>
    <row r="18" spans="1:9" x14ac:dyDescent="0.2">
      <c r="A18" s="3" t="s">
        <v>11</v>
      </c>
      <c r="B18" s="1"/>
      <c r="C18" s="1"/>
      <c r="D18" s="1"/>
      <c r="E18" s="1"/>
      <c r="F18" s="1"/>
      <c r="G18" s="4">
        <f t="shared" si="0"/>
        <v>0</v>
      </c>
      <c r="H18" s="1"/>
    </row>
    <row r="20" spans="1:9" x14ac:dyDescent="0.2">
      <c r="A20" s="6" t="s">
        <v>7</v>
      </c>
      <c r="B20" s="6" t="s">
        <v>23</v>
      </c>
      <c r="C20" s="6" t="s">
        <v>15</v>
      </c>
      <c r="D20" s="6" t="s">
        <v>8</v>
      </c>
      <c r="E20" s="6" t="s">
        <v>9</v>
      </c>
      <c r="F20" s="6" t="s">
        <v>10</v>
      </c>
      <c r="G20" s="6" t="s">
        <v>0</v>
      </c>
      <c r="H20" s="6" t="s">
        <v>7</v>
      </c>
      <c r="I20" s="17" t="s">
        <v>28</v>
      </c>
    </row>
    <row r="21" spans="1:9" x14ac:dyDescent="0.2">
      <c r="A21" s="3" t="s">
        <v>14</v>
      </c>
      <c r="B21" s="37">
        <v>2080010000000</v>
      </c>
      <c r="C21" s="1">
        <v>2</v>
      </c>
      <c r="D21" s="1">
        <v>1721466</v>
      </c>
      <c r="E21" s="1">
        <v>1721479</v>
      </c>
      <c r="F21" s="1">
        <f>(E21-D21)+1</f>
        <v>14</v>
      </c>
      <c r="G21" s="1">
        <f>F21</f>
        <v>14</v>
      </c>
      <c r="H21" s="1" t="s">
        <v>41</v>
      </c>
      <c r="I21">
        <v>17</v>
      </c>
    </row>
    <row r="22" spans="1:9" x14ac:dyDescent="0.2">
      <c r="A22" s="3" t="s">
        <v>14</v>
      </c>
      <c r="B22" s="37">
        <v>2080010000000</v>
      </c>
      <c r="C22" s="1">
        <v>2</v>
      </c>
      <c r="D22" s="1">
        <v>1721462</v>
      </c>
      <c r="E22" s="1">
        <v>1721464</v>
      </c>
      <c r="F22" s="1">
        <f>(E22-D22)+1</f>
        <v>3</v>
      </c>
      <c r="G22" s="1">
        <f>G21+F22</f>
        <v>17</v>
      </c>
      <c r="H22" s="1" t="s">
        <v>41</v>
      </c>
      <c r="I22" s="21">
        <f>G22-I21</f>
        <v>0</v>
      </c>
    </row>
    <row r="23" spans="1:9" x14ac:dyDescent="0.2">
      <c r="A23" s="3"/>
      <c r="B23" s="35"/>
      <c r="C23" s="1"/>
      <c r="D23" s="1"/>
      <c r="E23" s="1"/>
      <c r="F23" s="1"/>
      <c r="G23" s="1"/>
      <c r="H23" s="1"/>
    </row>
    <row r="24" spans="1:9" x14ac:dyDescent="0.2">
      <c r="A24" s="3" t="s">
        <v>14</v>
      </c>
      <c r="B24" s="35">
        <v>2080030400000</v>
      </c>
      <c r="C24" s="1">
        <v>6</v>
      </c>
      <c r="D24" s="1">
        <v>1721442</v>
      </c>
      <c r="E24" s="1">
        <v>1721442</v>
      </c>
      <c r="F24" s="1">
        <f>(E24-D24)+1</f>
        <v>1</v>
      </c>
      <c r="G24" s="1">
        <f>F24</f>
        <v>1</v>
      </c>
      <c r="H24" s="1" t="s">
        <v>41</v>
      </c>
      <c r="I24">
        <v>27</v>
      </c>
    </row>
    <row r="25" spans="1:9" x14ac:dyDescent="0.2">
      <c r="A25" s="3" t="s">
        <v>14</v>
      </c>
      <c r="B25" s="35">
        <v>2080030400000</v>
      </c>
      <c r="C25" s="1">
        <v>6</v>
      </c>
      <c r="D25" s="1">
        <v>1721446</v>
      </c>
      <c r="E25" s="1">
        <v>1721451</v>
      </c>
      <c r="F25" s="1">
        <f>(E25-D25)+1</f>
        <v>6</v>
      </c>
      <c r="G25" s="1">
        <f>G24+F25</f>
        <v>7</v>
      </c>
      <c r="H25" s="1" t="s">
        <v>41</v>
      </c>
    </row>
    <row r="26" spans="1:9" x14ac:dyDescent="0.2">
      <c r="A26" s="3" t="s">
        <v>14</v>
      </c>
      <c r="B26" s="35">
        <v>2080030400000</v>
      </c>
      <c r="C26" s="1">
        <v>6</v>
      </c>
      <c r="D26" s="1">
        <v>1721432</v>
      </c>
      <c r="E26" s="1">
        <v>1721441</v>
      </c>
      <c r="F26" s="1">
        <f t="shared" ref="F26:F28" si="1">(E26-D26)+1</f>
        <v>10</v>
      </c>
      <c r="G26" s="1">
        <f t="shared" ref="G26:G28" si="2">G25+F26</f>
        <v>17</v>
      </c>
      <c r="H26" s="1" t="s">
        <v>41</v>
      </c>
    </row>
    <row r="27" spans="1:9" x14ac:dyDescent="0.2">
      <c r="A27" s="3" t="s">
        <v>14</v>
      </c>
      <c r="B27" s="35">
        <v>2080030400000</v>
      </c>
      <c r="C27" s="1">
        <v>6</v>
      </c>
      <c r="D27" s="1">
        <v>1721423</v>
      </c>
      <c r="E27" s="1">
        <v>1721431</v>
      </c>
      <c r="F27" s="1">
        <f t="shared" si="1"/>
        <v>9</v>
      </c>
      <c r="G27" s="1">
        <f t="shared" si="2"/>
        <v>26</v>
      </c>
      <c r="H27" s="1" t="s">
        <v>41</v>
      </c>
    </row>
    <row r="28" spans="1:9" x14ac:dyDescent="0.2">
      <c r="A28" s="3" t="s">
        <v>14</v>
      </c>
      <c r="B28" s="35">
        <v>2080030400000</v>
      </c>
      <c r="C28" s="1">
        <v>6</v>
      </c>
      <c r="D28" s="1">
        <v>1721386</v>
      </c>
      <c r="E28" s="1">
        <v>1721386</v>
      </c>
      <c r="F28" s="1">
        <f t="shared" si="1"/>
        <v>1</v>
      </c>
      <c r="G28" s="1">
        <f t="shared" si="2"/>
        <v>27</v>
      </c>
      <c r="H28" s="1" t="s">
        <v>41</v>
      </c>
      <c r="I28" s="23">
        <f>G28-I24</f>
        <v>0</v>
      </c>
    </row>
    <row r="29" spans="1:9" x14ac:dyDescent="0.2">
      <c r="A29" s="3"/>
      <c r="B29" s="35"/>
      <c r="C29" s="1"/>
      <c r="D29" s="1"/>
      <c r="E29" s="1"/>
      <c r="F29" s="1"/>
      <c r="G29" s="1"/>
      <c r="H29" s="1"/>
    </row>
    <row r="30" spans="1:9" x14ac:dyDescent="0.2">
      <c r="A30" s="3" t="s">
        <v>14</v>
      </c>
      <c r="B30" s="35">
        <v>2080020400000</v>
      </c>
      <c r="C30" s="1">
        <v>4</v>
      </c>
      <c r="D30" s="1">
        <v>172417</v>
      </c>
      <c r="E30" s="1">
        <v>172422</v>
      </c>
      <c r="F30" s="1">
        <f t="shared" ref="F30:F35" si="3">(E30-D30)+1</f>
        <v>6</v>
      </c>
      <c r="G30" s="1">
        <f>F30</f>
        <v>6</v>
      </c>
      <c r="H30" s="1" t="s">
        <v>41</v>
      </c>
      <c r="I30">
        <v>37</v>
      </c>
    </row>
    <row r="31" spans="1:9" x14ac:dyDescent="0.2">
      <c r="A31" s="3" t="s">
        <v>14</v>
      </c>
      <c r="B31" s="35">
        <v>2080020400000</v>
      </c>
      <c r="C31" s="1">
        <v>4</v>
      </c>
      <c r="D31" s="1">
        <v>1721320</v>
      </c>
      <c r="E31" s="1">
        <v>1721324</v>
      </c>
      <c r="F31" s="1">
        <f t="shared" si="3"/>
        <v>5</v>
      </c>
      <c r="G31" s="1">
        <f>G30+F31</f>
        <v>11</v>
      </c>
      <c r="H31" s="1" t="s">
        <v>41</v>
      </c>
    </row>
    <row r="32" spans="1:9" x14ac:dyDescent="0.2">
      <c r="A32" s="3" t="s">
        <v>14</v>
      </c>
      <c r="B32" s="35">
        <v>2080020400000</v>
      </c>
      <c r="C32" s="1">
        <v>4</v>
      </c>
      <c r="D32" s="1">
        <v>1721313</v>
      </c>
      <c r="E32" s="1">
        <v>1721313</v>
      </c>
      <c r="F32" s="1">
        <f t="shared" si="3"/>
        <v>1</v>
      </c>
      <c r="G32" s="1">
        <f>G31+F32</f>
        <v>12</v>
      </c>
      <c r="H32" s="1" t="s">
        <v>41</v>
      </c>
    </row>
    <row r="33" spans="1:9" x14ac:dyDescent="0.2">
      <c r="A33" s="3" t="s">
        <v>14</v>
      </c>
      <c r="B33" s="35">
        <v>2080020400000</v>
      </c>
      <c r="C33" s="1">
        <v>4</v>
      </c>
      <c r="D33" s="1">
        <v>1721315</v>
      </c>
      <c r="E33" s="1">
        <v>1721315</v>
      </c>
      <c r="F33" s="1">
        <f t="shared" si="3"/>
        <v>1</v>
      </c>
      <c r="G33" s="1">
        <f>G32+F33</f>
        <v>13</v>
      </c>
      <c r="H33" s="1" t="s">
        <v>41</v>
      </c>
    </row>
    <row r="34" spans="1:9" x14ac:dyDescent="0.2">
      <c r="A34" s="3" t="s">
        <v>14</v>
      </c>
      <c r="B34" s="35">
        <v>2080020400000</v>
      </c>
      <c r="C34" s="1">
        <v>4</v>
      </c>
      <c r="D34" s="1">
        <v>1721405</v>
      </c>
      <c r="E34" s="1">
        <v>1721416</v>
      </c>
      <c r="F34" s="1">
        <f t="shared" si="3"/>
        <v>12</v>
      </c>
      <c r="G34" s="1">
        <f>G33+F34</f>
        <v>25</v>
      </c>
      <c r="H34" s="1" t="s">
        <v>41</v>
      </c>
    </row>
    <row r="35" spans="1:9" x14ac:dyDescent="0.2">
      <c r="A35" s="3" t="s">
        <v>14</v>
      </c>
      <c r="B35" s="35">
        <v>2080020400000</v>
      </c>
      <c r="C35" s="1">
        <v>4</v>
      </c>
      <c r="D35" s="1">
        <v>1721393</v>
      </c>
      <c r="E35" s="1">
        <v>1721404</v>
      </c>
      <c r="F35" s="1">
        <f t="shared" si="3"/>
        <v>12</v>
      </c>
      <c r="G35" s="1">
        <f>G34+F35</f>
        <v>37</v>
      </c>
      <c r="H35" s="1" t="s">
        <v>41</v>
      </c>
      <c r="I35" s="23">
        <f>G35-I30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workbookViewId="0">
      <selection activeCell="M24" sqref="M24"/>
    </sheetView>
  </sheetViews>
  <sheetFormatPr baseColWidth="10" defaultColWidth="8.83203125" defaultRowHeight="15" x14ac:dyDescent="0.2"/>
  <cols>
    <col min="2" max="2" width="16.83203125" customWidth="1"/>
    <col min="9" max="9" width="16" bestFit="1" customWidth="1"/>
  </cols>
  <sheetData>
    <row r="1" spans="1:10" x14ac:dyDescent="0.2">
      <c r="A1" s="7"/>
      <c r="B1" s="7"/>
      <c r="C1" s="7"/>
      <c r="D1" s="7"/>
      <c r="E1" s="5" t="s">
        <v>1</v>
      </c>
      <c r="F1" s="5" t="s">
        <v>2</v>
      </c>
      <c r="G1" s="5" t="s">
        <v>14</v>
      </c>
      <c r="H1" s="5" t="s">
        <v>0</v>
      </c>
      <c r="I1" s="5" t="s">
        <v>3</v>
      </c>
    </row>
    <row r="2" spans="1:10" x14ac:dyDescent="0.2">
      <c r="A2" s="7"/>
      <c r="B2" s="7"/>
      <c r="C2" s="7"/>
      <c r="D2" s="7"/>
      <c r="E2" s="8">
        <v>583</v>
      </c>
      <c r="F2" s="8">
        <v>0</v>
      </c>
      <c r="G2" s="10">
        <v>42</v>
      </c>
      <c r="H2" s="10">
        <f>E2+F2+G2</f>
        <v>625</v>
      </c>
      <c r="I2" s="8" t="s">
        <v>4</v>
      </c>
      <c r="J2" s="46">
        <v>6</v>
      </c>
    </row>
    <row r="3" spans="1:10" x14ac:dyDescent="0.2">
      <c r="A3" s="7"/>
      <c r="B3" s="7"/>
      <c r="C3" s="7"/>
      <c r="D3" s="7"/>
      <c r="E3" s="7"/>
      <c r="F3" s="7"/>
      <c r="G3" s="9"/>
      <c r="H3" s="9"/>
      <c r="I3" s="9"/>
    </row>
    <row r="4" spans="1:10" x14ac:dyDescent="0.2">
      <c r="A4" s="6" t="s">
        <v>7</v>
      </c>
      <c r="B4" s="6" t="s">
        <v>23</v>
      </c>
      <c r="C4" s="6" t="s">
        <v>6</v>
      </c>
      <c r="D4" s="6"/>
      <c r="E4" s="6" t="s">
        <v>8</v>
      </c>
      <c r="F4" s="6" t="s">
        <v>9</v>
      </c>
      <c r="G4" s="6" t="s">
        <v>10</v>
      </c>
      <c r="H4" s="6" t="s">
        <v>0</v>
      </c>
      <c r="I4" s="9"/>
    </row>
    <row r="5" spans="1:10" x14ac:dyDescent="0.2">
      <c r="A5" s="8" t="s">
        <v>1</v>
      </c>
      <c r="B5" s="8"/>
      <c r="C5" s="10"/>
      <c r="D5" s="10" t="s">
        <v>16</v>
      </c>
      <c r="E5" s="10">
        <v>206001</v>
      </c>
      <c r="F5" s="10">
        <v>206376</v>
      </c>
      <c r="G5" s="10">
        <f>(F5-E5)+1</f>
        <v>376</v>
      </c>
      <c r="H5" s="10"/>
      <c r="I5" s="9" t="s">
        <v>36</v>
      </c>
    </row>
    <row r="6" spans="1:10" x14ac:dyDescent="0.2">
      <c r="A6" s="8" t="s">
        <v>1</v>
      </c>
      <c r="B6" s="8"/>
      <c r="C6" s="10"/>
      <c r="D6" s="10" t="s">
        <v>16</v>
      </c>
      <c r="E6" s="10">
        <v>206384</v>
      </c>
      <c r="F6" s="10">
        <v>206590</v>
      </c>
      <c r="G6" s="10">
        <f>(F6-E6)+1</f>
        <v>207</v>
      </c>
      <c r="H6" s="11">
        <f>G5+G6</f>
        <v>583</v>
      </c>
      <c r="I6" s="9"/>
    </row>
    <row r="7" spans="1:10" x14ac:dyDescent="0.2">
      <c r="A7" s="9"/>
      <c r="B7" s="9"/>
      <c r="C7" s="9"/>
      <c r="D7" s="10"/>
      <c r="E7" s="9"/>
      <c r="F7" s="9"/>
      <c r="G7" s="9"/>
      <c r="H7" s="9"/>
      <c r="I7" s="9"/>
    </row>
    <row r="8" spans="1:10" x14ac:dyDescent="0.2">
      <c r="A8" s="6" t="s">
        <v>7</v>
      </c>
      <c r="B8" s="6" t="s">
        <v>23</v>
      </c>
      <c r="C8" s="6" t="s">
        <v>15</v>
      </c>
      <c r="D8" s="6"/>
      <c r="E8" s="6" t="s">
        <v>8</v>
      </c>
      <c r="F8" s="6" t="s">
        <v>9</v>
      </c>
      <c r="G8" s="6" t="s">
        <v>10</v>
      </c>
      <c r="H8" s="6" t="s">
        <v>0</v>
      </c>
      <c r="I8" s="6" t="s">
        <v>12</v>
      </c>
    </row>
    <row r="9" spans="1:10" x14ac:dyDescent="0.2">
      <c r="A9" s="8" t="s">
        <v>11</v>
      </c>
      <c r="B9" s="8"/>
      <c r="C9" s="10"/>
      <c r="D9" s="10"/>
      <c r="E9" s="10"/>
      <c r="F9" s="10"/>
      <c r="G9" s="10"/>
      <c r="H9" s="10">
        <f>G9</f>
        <v>0</v>
      </c>
      <c r="I9" s="10"/>
    </row>
    <row r="10" spans="1:10" x14ac:dyDescent="0.2">
      <c r="A10" s="8" t="s">
        <v>11</v>
      </c>
      <c r="B10" s="8"/>
      <c r="C10" s="10"/>
      <c r="D10" s="10"/>
      <c r="E10" s="10"/>
      <c r="F10" s="10"/>
      <c r="G10" s="10"/>
      <c r="H10" s="10">
        <f t="shared" ref="H10:H17" si="0">H9+G10</f>
        <v>0</v>
      </c>
      <c r="I10" s="10"/>
    </row>
    <row r="11" spans="1:10" x14ac:dyDescent="0.2">
      <c r="A11" s="8" t="s">
        <v>11</v>
      </c>
      <c r="B11" s="8"/>
      <c r="C11" s="10"/>
      <c r="D11" s="10"/>
      <c r="E11" s="10"/>
      <c r="F11" s="10"/>
      <c r="G11" s="10"/>
      <c r="H11" s="10">
        <f t="shared" si="0"/>
        <v>0</v>
      </c>
      <c r="I11" s="10"/>
    </row>
    <row r="12" spans="1:10" x14ac:dyDescent="0.2">
      <c r="A12" s="8" t="s">
        <v>11</v>
      </c>
      <c r="B12" s="8"/>
      <c r="C12" s="10"/>
      <c r="D12" s="10"/>
      <c r="E12" s="10"/>
      <c r="F12" s="10"/>
      <c r="G12" s="10"/>
      <c r="H12" s="10">
        <f t="shared" si="0"/>
        <v>0</v>
      </c>
      <c r="I12" s="10"/>
    </row>
    <row r="13" spans="1:10" x14ac:dyDescent="0.2">
      <c r="A13" s="8" t="s">
        <v>11</v>
      </c>
      <c r="B13" s="8"/>
      <c r="C13" s="10"/>
      <c r="D13" s="10"/>
      <c r="E13" s="10"/>
      <c r="F13" s="10"/>
      <c r="G13" s="10"/>
      <c r="H13" s="10">
        <f t="shared" si="0"/>
        <v>0</v>
      </c>
      <c r="I13" s="10"/>
    </row>
    <row r="14" spans="1:10" x14ac:dyDescent="0.2">
      <c r="A14" s="8" t="s">
        <v>11</v>
      </c>
      <c r="B14" s="8"/>
      <c r="C14" s="10"/>
      <c r="D14" s="10"/>
      <c r="E14" s="10"/>
      <c r="F14" s="10"/>
      <c r="G14" s="10"/>
      <c r="H14" s="10">
        <f t="shared" si="0"/>
        <v>0</v>
      </c>
      <c r="I14" s="10"/>
    </row>
    <row r="15" spans="1:10" x14ac:dyDescent="0.2">
      <c r="A15" s="8" t="s">
        <v>11</v>
      </c>
      <c r="B15" s="8"/>
      <c r="C15" s="10"/>
      <c r="D15" s="10"/>
      <c r="E15" s="10"/>
      <c r="F15" s="10"/>
      <c r="G15" s="10"/>
      <c r="H15" s="10">
        <f t="shared" si="0"/>
        <v>0</v>
      </c>
      <c r="I15" s="10"/>
    </row>
    <row r="16" spans="1:10" x14ac:dyDescent="0.2">
      <c r="A16" s="8" t="s">
        <v>11</v>
      </c>
      <c r="B16" s="8"/>
      <c r="C16" s="10"/>
      <c r="D16" s="10"/>
      <c r="E16" s="10"/>
      <c r="F16" s="10"/>
      <c r="G16" s="10"/>
      <c r="H16" s="10">
        <f t="shared" si="0"/>
        <v>0</v>
      </c>
      <c r="I16" s="10"/>
    </row>
    <row r="17" spans="1:11" x14ac:dyDescent="0.2">
      <c r="A17" s="8" t="s">
        <v>11</v>
      </c>
      <c r="B17" s="8"/>
      <c r="C17" s="10"/>
      <c r="D17" s="10"/>
      <c r="E17" s="10"/>
      <c r="F17" s="10"/>
      <c r="G17" s="10"/>
      <c r="H17" s="10">
        <f t="shared" si="0"/>
        <v>0</v>
      </c>
      <c r="I17" s="10"/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9"/>
    </row>
    <row r="19" spans="1:11" x14ac:dyDescent="0.2">
      <c r="A19" s="6" t="s">
        <v>7</v>
      </c>
      <c r="B19" s="6" t="s">
        <v>23</v>
      </c>
      <c r="C19" s="6" t="s">
        <v>15</v>
      </c>
      <c r="D19" s="6"/>
      <c r="E19" s="6" t="s">
        <v>8</v>
      </c>
      <c r="F19" s="6" t="s">
        <v>9</v>
      </c>
      <c r="G19" s="6" t="s">
        <v>10</v>
      </c>
      <c r="H19" s="6" t="s">
        <v>0</v>
      </c>
      <c r="I19" s="6" t="s">
        <v>13</v>
      </c>
      <c r="J19" s="17" t="s">
        <v>56</v>
      </c>
    </row>
    <row r="20" spans="1:11" x14ac:dyDescent="0.2">
      <c r="A20" s="8" t="s">
        <v>14</v>
      </c>
      <c r="B20" s="30">
        <v>2080021100000</v>
      </c>
      <c r="C20" s="8">
        <v>4</v>
      </c>
      <c r="D20" s="10"/>
      <c r="E20" s="10">
        <v>205988</v>
      </c>
      <c r="F20" s="10">
        <v>206000</v>
      </c>
      <c r="G20" s="10">
        <f>(F20-E20)+1</f>
        <v>13</v>
      </c>
      <c r="H20" s="10">
        <f>G20</f>
        <v>13</v>
      </c>
      <c r="I20" s="10" t="s">
        <v>22</v>
      </c>
      <c r="J20">
        <v>22</v>
      </c>
    </row>
    <row r="21" spans="1:11" x14ac:dyDescent="0.2">
      <c r="A21" s="8" t="s">
        <v>14</v>
      </c>
      <c r="B21" s="30">
        <v>2080021100000</v>
      </c>
      <c r="C21" s="8">
        <v>4</v>
      </c>
      <c r="D21" s="10"/>
      <c r="E21" s="10">
        <v>206377</v>
      </c>
      <c r="F21" s="10">
        <v>206383</v>
      </c>
      <c r="G21" s="10">
        <f>(F21-E21)+1</f>
        <v>7</v>
      </c>
      <c r="H21" s="10">
        <f>H20+G21</f>
        <v>20</v>
      </c>
      <c r="I21" s="10" t="s">
        <v>22</v>
      </c>
    </row>
    <row r="22" spans="1:11" x14ac:dyDescent="0.2">
      <c r="A22" s="8" t="s">
        <v>14</v>
      </c>
      <c r="B22" s="30">
        <v>2080021100000</v>
      </c>
      <c r="C22" s="8">
        <v>4</v>
      </c>
      <c r="D22" s="10"/>
      <c r="E22" s="10">
        <v>166359</v>
      </c>
      <c r="F22" s="10">
        <v>166360</v>
      </c>
      <c r="G22" s="10">
        <f>(F22-E22)+1</f>
        <v>2</v>
      </c>
      <c r="H22" s="10">
        <f>H21+G22</f>
        <v>22</v>
      </c>
      <c r="I22" s="10" t="s">
        <v>22</v>
      </c>
      <c r="J22" s="23">
        <f>H22-J20</f>
        <v>0</v>
      </c>
    </row>
    <row r="24" spans="1:11" x14ac:dyDescent="0.2">
      <c r="A24" s="8" t="s">
        <v>14</v>
      </c>
      <c r="B24" s="30">
        <v>2080021200000</v>
      </c>
      <c r="C24" s="8">
        <v>2</v>
      </c>
      <c r="D24" s="10"/>
      <c r="E24" s="10">
        <v>155354</v>
      </c>
      <c r="F24" s="10">
        <v>155373</v>
      </c>
      <c r="G24" s="10">
        <f>(F24-E24)+1</f>
        <v>20</v>
      </c>
      <c r="H24" s="10">
        <f>H23+G24</f>
        <v>20</v>
      </c>
      <c r="I24" s="10" t="s">
        <v>22</v>
      </c>
      <c r="J24">
        <v>20</v>
      </c>
      <c r="K24" s="23">
        <f>H24-J24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3"/>
  <sheetViews>
    <sheetView topLeftCell="A3" workbookViewId="0">
      <selection activeCell="I5" sqref="I5"/>
    </sheetView>
  </sheetViews>
  <sheetFormatPr baseColWidth="10" defaultColWidth="8.83203125" defaultRowHeight="15" x14ac:dyDescent="0.2"/>
  <cols>
    <col min="1" max="1" width="10.6640625" bestFit="1" customWidth="1"/>
    <col min="2" max="2" width="14.1640625" bestFit="1" customWidth="1"/>
    <col min="9" max="9" width="16" bestFit="1" customWidth="1"/>
  </cols>
  <sheetData>
    <row r="1" spans="1:9" x14ac:dyDescent="0.2">
      <c r="A1" s="7"/>
      <c r="B1" s="7"/>
      <c r="C1" s="7"/>
      <c r="D1" s="7"/>
      <c r="E1" s="5" t="s">
        <v>1</v>
      </c>
      <c r="F1" s="5" t="s">
        <v>2</v>
      </c>
      <c r="G1" s="5" t="s">
        <v>14</v>
      </c>
      <c r="H1" s="5" t="s">
        <v>0</v>
      </c>
      <c r="I1" s="5" t="s">
        <v>3</v>
      </c>
    </row>
    <row r="2" spans="1:9" x14ac:dyDescent="0.2">
      <c r="A2" s="7"/>
      <c r="B2" s="7"/>
      <c r="C2" s="7"/>
      <c r="D2" s="7"/>
      <c r="E2" s="8">
        <v>0</v>
      </c>
      <c r="F2" s="8">
        <v>0</v>
      </c>
      <c r="G2" s="10"/>
      <c r="H2" s="10">
        <f>E2+F2+G2</f>
        <v>0</v>
      </c>
      <c r="I2" s="8" t="s">
        <v>31</v>
      </c>
    </row>
    <row r="3" spans="1:9" x14ac:dyDescent="0.2">
      <c r="A3" s="7"/>
      <c r="B3" s="7"/>
      <c r="C3" s="7"/>
      <c r="D3" s="7"/>
      <c r="E3" s="7"/>
      <c r="F3" s="7"/>
      <c r="G3" s="9"/>
      <c r="H3" s="9"/>
      <c r="I3" s="9"/>
    </row>
    <row r="4" spans="1:9" x14ac:dyDescent="0.2">
      <c r="A4" s="6" t="s">
        <v>7</v>
      </c>
      <c r="B4" s="6" t="s">
        <v>23</v>
      </c>
      <c r="C4" s="6" t="s">
        <v>6</v>
      </c>
      <c r="D4" s="6"/>
      <c r="E4" s="6" t="s">
        <v>8</v>
      </c>
      <c r="F4" s="6" t="s">
        <v>9</v>
      </c>
      <c r="G4" s="6" t="s">
        <v>10</v>
      </c>
      <c r="H4" s="6" t="s">
        <v>0</v>
      </c>
      <c r="I4" s="9"/>
    </row>
    <row r="5" spans="1:9" x14ac:dyDescent="0.2">
      <c r="A5" s="8" t="s">
        <v>1</v>
      </c>
      <c r="B5" s="8"/>
      <c r="C5" s="10"/>
      <c r="D5" s="10"/>
      <c r="E5" s="10"/>
      <c r="F5" s="10"/>
      <c r="G5" s="10"/>
      <c r="H5" s="10"/>
      <c r="I5" s="9">
        <v>4</v>
      </c>
    </row>
    <row r="6" spans="1:9" x14ac:dyDescent="0.2">
      <c r="A6" s="9"/>
      <c r="B6" s="9"/>
      <c r="C6" s="9"/>
      <c r="D6" s="9"/>
      <c r="E6" s="9"/>
      <c r="F6" s="9"/>
      <c r="G6" s="9"/>
      <c r="H6" s="9"/>
      <c r="I6" s="9"/>
    </row>
    <row r="7" spans="1:9" x14ac:dyDescent="0.2">
      <c r="A7" s="6" t="s">
        <v>7</v>
      </c>
      <c r="B7" s="6" t="s">
        <v>23</v>
      </c>
      <c r="C7" s="6" t="s">
        <v>15</v>
      </c>
      <c r="D7" s="6"/>
      <c r="E7" s="6" t="s">
        <v>8</v>
      </c>
      <c r="F7" s="6" t="s">
        <v>9</v>
      </c>
      <c r="G7" s="6" t="s">
        <v>10</v>
      </c>
      <c r="H7" s="6" t="s">
        <v>0</v>
      </c>
      <c r="I7" s="6" t="s">
        <v>12</v>
      </c>
    </row>
    <row r="8" spans="1:9" x14ac:dyDescent="0.2">
      <c r="A8" s="8" t="s">
        <v>11</v>
      </c>
      <c r="B8" s="8"/>
      <c r="C8" s="10"/>
      <c r="D8" s="10"/>
      <c r="E8" s="10"/>
      <c r="F8" s="10"/>
      <c r="G8" s="10"/>
      <c r="H8" s="10">
        <f>G8</f>
        <v>0</v>
      </c>
      <c r="I8" s="10"/>
    </row>
    <row r="9" spans="1:9" x14ac:dyDescent="0.2">
      <c r="A9" s="8" t="s">
        <v>11</v>
      </c>
      <c r="B9" s="8"/>
      <c r="C9" s="10"/>
      <c r="D9" s="10"/>
      <c r="E9" s="10"/>
      <c r="F9" s="10"/>
      <c r="G9" s="10"/>
      <c r="H9" s="10">
        <f t="shared" ref="H9:H16" si="0">H8+G9</f>
        <v>0</v>
      </c>
      <c r="I9" s="10"/>
    </row>
    <row r="10" spans="1:9" x14ac:dyDescent="0.2">
      <c r="A10" s="8" t="s">
        <v>11</v>
      </c>
      <c r="B10" s="8"/>
      <c r="C10" s="10"/>
      <c r="D10" s="10"/>
      <c r="E10" s="10"/>
      <c r="F10" s="10"/>
      <c r="G10" s="10"/>
      <c r="H10" s="10">
        <f t="shared" si="0"/>
        <v>0</v>
      </c>
      <c r="I10" s="10"/>
    </row>
    <row r="11" spans="1:9" x14ac:dyDescent="0.2">
      <c r="A11" s="8" t="s">
        <v>11</v>
      </c>
      <c r="B11" s="8"/>
      <c r="C11" s="10"/>
      <c r="D11" s="10"/>
      <c r="E11" s="10"/>
      <c r="F11" s="10"/>
      <c r="G11" s="10"/>
      <c r="H11" s="10">
        <f t="shared" si="0"/>
        <v>0</v>
      </c>
      <c r="I11" s="10"/>
    </row>
    <row r="12" spans="1:9" x14ac:dyDescent="0.2">
      <c r="A12" s="8" t="s">
        <v>11</v>
      </c>
      <c r="B12" s="8"/>
      <c r="C12" s="10"/>
      <c r="D12" s="10"/>
      <c r="E12" s="10"/>
      <c r="F12" s="10"/>
      <c r="G12" s="10"/>
      <c r="H12" s="10">
        <f t="shared" si="0"/>
        <v>0</v>
      </c>
      <c r="I12" s="10"/>
    </row>
    <row r="13" spans="1:9" x14ac:dyDescent="0.2">
      <c r="A13" s="8" t="s">
        <v>11</v>
      </c>
      <c r="B13" s="8"/>
      <c r="C13" s="10"/>
      <c r="D13" s="10"/>
      <c r="E13" s="10"/>
      <c r="F13" s="10"/>
      <c r="G13" s="10"/>
      <c r="H13" s="10">
        <f t="shared" si="0"/>
        <v>0</v>
      </c>
      <c r="I13" s="10"/>
    </row>
    <row r="14" spans="1:9" x14ac:dyDescent="0.2">
      <c r="A14" s="8" t="s">
        <v>11</v>
      </c>
      <c r="B14" s="8"/>
      <c r="C14" s="10"/>
      <c r="D14" s="10"/>
      <c r="E14" s="10"/>
      <c r="F14" s="10"/>
      <c r="G14" s="10"/>
      <c r="H14" s="10">
        <f t="shared" si="0"/>
        <v>0</v>
      </c>
      <c r="I14" s="10"/>
    </row>
    <row r="15" spans="1:9" x14ac:dyDescent="0.2">
      <c r="A15" s="8" t="s">
        <v>11</v>
      </c>
      <c r="B15" s="8"/>
      <c r="C15" s="10"/>
      <c r="D15" s="10"/>
      <c r="E15" s="10"/>
      <c r="F15" s="10"/>
      <c r="G15" s="10"/>
      <c r="H15" s="10">
        <f t="shared" si="0"/>
        <v>0</v>
      </c>
      <c r="I15" s="10"/>
    </row>
    <row r="16" spans="1:9" x14ac:dyDescent="0.2">
      <c r="A16" s="8" t="s">
        <v>11</v>
      </c>
      <c r="B16" s="8"/>
      <c r="C16" s="10"/>
      <c r="D16" s="10"/>
      <c r="E16" s="10"/>
      <c r="F16" s="10"/>
      <c r="G16" s="10"/>
      <c r="H16" s="10">
        <f t="shared" si="0"/>
        <v>0</v>
      </c>
      <c r="I16" s="10"/>
    </row>
    <row r="17" spans="1:16" x14ac:dyDescent="0.2">
      <c r="A17" s="9"/>
      <c r="B17" s="9"/>
      <c r="C17" s="9"/>
      <c r="D17" s="9"/>
      <c r="E17" s="9"/>
      <c r="F17" s="9"/>
      <c r="G17" s="9"/>
      <c r="H17" s="9"/>
      <c r="I17" s="9"/>
    </row>
    <row r="18" spans="1:16" x14ac:dyDescent="0.2">
      <c r="A18" s="6" t="s">
        <v>7</v>
      </c>
      <c r="B18" s="6" t="s">
        <v>23</v>
      </c>
      <c r="C18" s="6" t="s">
        <v>15</v>
      </c>
      <c r="D18" s="6"/>
      <c r="E18" s="6" t="s">
        <v>8</v>
      </c>
      <c r="F18" s="6" t="s">
        <v>9</v>
      </c>
      <c r="G18" s="6" t="s">
        <v>10</v>
      </c>
      <c r="H18" s="6" t="s">
        <v>0</v>
      </c>
      <c r="I18" s="6" t="s">
        <v>13</v>
      </c>
      <c r="J18" s="17" t="s">
        <v>28</v>
      </c>
      <c r="K18" s="25"/>
    </row>
    <row r="19" spans="1:16" x14ac:dyDescent="0.2">
      <c r="A19" s="3" t="s">
        <v>14</v>
      </c>
      <c r="B19" s="19">
        <v>2080926000000</v>
      </c>
      <c r="C19" s="1" t="s">
        <v>40</v>
      </c>
      <c r="D19" s="1" t="s">
        <v>5</v>
      </c>
      <c r="E19" s="1">
        <v>255139</v>
      </c>
      <c r="F19" s="1">
        <v>255139</v>
      </c>
      <c r="G19" s="1">
        <f>(F19-E19)+1</f>
        <v>1</v>
      </c>
      <c r="H19" s="1">
        <f>G19</f>
        <v>1</v>
      </c>
      <c r="I19" s="1" t="s">
        <v>41</v>
      </c>
      <c r="J19">
        <v>6</v>
      </c>
    </row>
    <row r="20" spans="1:16" x14ac:dyDescent="0.2">
      <c r="A20" s="3" t="s">
        <v>14</v>
      </c>
      <c r="B20" s="19">
        <v>2080926000000</v>
      </c>
      <c r="C20" s="1" t="s">
        <v>40</v>
      </c>
      <c r="D20" s="1" t="s">
        <v>5</v>
      </c>
      <c r="E20" s="1">
        <v>255141</v>
      </c>
      <c r="F20" s="1">
        <v>255145</v>
      </c>
      <c r="G20" s="1">
        <f>(F20-E20)+1</f>
        <v>5</v>
      </c>
      <c r="H20" s="1">
        <f>H19+G20</f>
        <v>6</v>
      </c>
      <c r="I20" s="1" t="s">
        <v>41</v>
      </c>
      <c r="J20" s="21">
        <f>H20-J19</f>
        <v>0</v>
      </c>
    </row>
    <row r="21" spans="1:16" x14ac:dyDescent="0.2">
      <c r="A21" s="3"/>
      <c r="B21" s="19"/>
      <c r="C21" s="1"/>
      <c r="D21" s="1"/>
      <c r="E21" s="1"/>
      <c r="F21" s="1"/>
      <c r="G21" s="1"/>
      <c r="H21" s="1"/>
      <c r="I21" s="1"/>
    </row>
    <row r="22" spans="1:16" x14ac:dyDescent="0.2">
      <c r="A22" s="3" t="s">
        <v>14</v>
      </c>
      <c r="B22" s="19">
        <v>2080926300000</v>
      </c>
      <c r="C22" s="1" t="s">
        <v>42</v>
      </c>
      <c r="D22" s="1" t="s">
        <v>5</v>
      </c>
      <c r="E22" s="1">
        <v>255099</v>
      </c>
      <c r="F22" s="1">
        <v>255128</v>
      </c>
      <c r="G22" s="1">
        <f>(F22-E22)+1</f>
        <v>30</v>
      </c>
      <c r="H22" s="1">
        <f>G22</f>
        <v>30</v>
      </c>
      <c r="I22" s="1" t="s">
        <v>26</v>
      </c>
      <c r="J22">
        <v>31</v>
      </c>
      <c r="P22">
        <v>0</v>
      </c>
    </row>
    <row r="23" spans="1:16" x14ac:dyDescent="0.2">
      <c r="A23" s="3" t="s">
        <v>14</v>
      </c>
      <c r="B23" s="19">
        <v>2080926300000</v>
      </c>
      <c r="C23" s="1" t="s">
        <v>42</v>
      </c>
      <c r="D23" s="1" t="s">
        <v>5</v>
      </c>
      <c r="E23" s="1">
        <v>204077</v>
      </c>
      <c r="F23" s="1">
        <v>204077</v>
      </c>
      <c r="G23" s="1">
        <f>(F23-E23)+1</f>
        <v>1</v>
      </c>
      <c r="H23" s="1">
        <f>H22+G23</f>
        <v>31</v>
      </c>
      <c r="I23" s="1" t="s">
        <v>26</v>
      </c>
      <c r="J23" s="23">
        <f>H23-J22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workbookViewId="0">
      <selection activeCell="G43" sqref="G43"/>
    </sheetView>
  </sheetViews>
  <sheetFormatPr baseColWidth="10" defaultColWidth="8.83203125" defaultRowHeight="15" x14ac:dyDescent="0.2"/>
  <cols>
    <col min="1" max="1" width="10.6640625" bestFit="1" customWidth="1"/>
    <col min="2" max="2" width="14.1640625" bestFit="1" customWidth="1"/>
    <col min="8" max="8" width="16" bestFit="1" customWidth="1"/>
  </cols>
  <sheetData>
    <row r="1" spans="1:9" x14ac:dyDescent="0.2">
      <c r="A1" s="7"/>
      <c r="B1" s="7"/>
      <c r="C1" s="7"/>
      <c r="D1" s="5" t="s">
        <v>1</v>
      </c>
      <c r="E1" s="5" t="s">
        <v>2</v>
      </c>
      <c r="F1" s="5" t="s">
        <v>14</v>
      </c>
      <c r="G1" s="5" t="s">
        <v>0</v>
      </c>
      <c r="H1" s="5" t="s">
        <v>3</v>
      </c>
    </row>
    <row r="2" spans="1:9" x14ac:dyDescent="0.2">
      <c r="A2" s="7"/>
      <c r="B2" s="7"/>
      <c r="C2" s="7"/>
      <c r="D2" s="8">
        <v>0</v>
      </c>
      <c r="E2" s="8">
        <v>0</v>
      </c>
      <c r="F2" s="10">
        <v>11</v>
      </c>
      <c r="G2" s="11">
        <f>D2+E2+F2</f>
        <v>11</v>
      </c>
      <c r="H2" s="8" t="s">
        <v>31</v>
      </c>
      <c r="I2" s="46">
        <v>1</v>
      </c>
    </row>
    <row r="3" spans="1:9" x14ac:dyDescent="0.2">
      <c r="A3" s="7"/>
      <c r="B3" s="7"/>
      <c r="C3" s="7"/>
      <c r="D3" s="7"/>
      <c r="E3" s="7"/>
      <c r="F3" s="9"/>
      <c r="G3" s="9"/>
      <c r="H3" s="9"/>
    </row>
    <row r="4" spans="1:9" x14ac:dyDescent="0.2">
      <c r="A4" s="6" t="s">
        <v>7</v>
      </c>
      <c r="B4" s="6" t="s">
        <v>23</v>
      </c>
      <c r="C4" s="6"/>
      <c r="D4" s="6" t="s">
        <v>8</v>
      </c>
      <c r="E4" s="6" t="s">
        <v>9</v>
      </c>
      <c r="F4" s="6" t="s">
        <v>10</v>
      </c>
      <c r="G4" s="6" t="s">
        <v>0</v>
      </c>
      <c r="H4" s="9"/>
    </row>
    <row r="5" spans="1:9" x14ac:dyDescent="0.2">
      <c r="A5" s="8" t="s">
        <v>1</v>
      </c>
      <c r="B5" s="10"/>
      <c r="C5" s="10"/>
      <c r="D5" s="10"/>
      <c r="E5" s="10"/>
      <c r="F5" s="10">
        <f t="shared" ref="F5:F8" si="0">(E5-D5)+1</f>
        <v>1</v>
      </c>
      <c r="G5" s="10"/>
      <c r="H5" s="9"/>
    </row>
    <row r="6" spans="1:9" x14ac:dyDescent="0.2">
      <c r="A6" s="8" t="s">
        <v>1</v>
      </c>
      <c r="B6" s="10"/>
      <c r="C6" s="10"/>
      <c r="D6" s="10"/>
      <c r="E6" s="10"/>
      <c r="F6" s="10">
        <f t="shared" si="0"/>
        <v>1</v>
      </c>
      <c r="G6" s="10">
        <f>F5+F6</f>
        <v>2</v>
      </c>
      <c r="H6" s="9"/>
    </row>
    <row r="7" spans="1:9" x14ac:dyDescent="0.2">
      <c r="A7" s="8" t="s">
        <v>1</v>
      </c>
      <c r="B7" s="10"/>
      <c r="C7" s="10"/>
      <c r="D7" s="10"/>
      <c r="E7" s="10"/>
      <c r="F7" s="10">
        <f t="shared" si="0"/>
        <v>1</v>
      </c>
      <c r="G7" s="10">
        <f>G6+F7</f>
        <v>3</v>
      </c>
      <c r="H7" s="9"/>
    </row>
    <row r="8" spans="1:9" x14ac:dyDescent="0.2">
      <c r="A8" s="8" t="s">
        <v>1</v>
      </c>
      <c r="B8" s="10"/>
      <c r="C8" s="10"/>
      <c r="D8" s="10"/>
      <c r="E8" s="10"/>
      <c r="F8" s="10">
        <f t="shared" si="0"/>
        <v>1</v>
      </c>
      <c r="G8" s="10">
        <f t="shared" ref="G8" si="1">G7+F8</f>
        <v>4</v>
      </c>
      <c r="H8" s="9"/>
    </row>
    <row r="9" spans="1:9" x14ac:dyDescent="0.2">
      <c r="A9" s="9"/>
      <c r="B9" s="9"/>
      <c r="C9" s="9"/>
      <c r="D9" s="9"/>
      <c r="E9" s="9"/>
      <c r="F9" s="9"/>
      <c r="G9" s="9"/>
      <c r="H9" s="9"/>
    </row>
    <row r="10" spans="1:9" x14ac:dyDescent="0.2">
      <c r="A10" s="6" t="s">
        <v>7</v>
      </c>
      <c r="B10" s="6" t="s">
        <v>23</v>
      </c>
      <c r="C10" s="6"/>
      <c r="D10" s="6" t="s">
        <v>8</v>
      </c>
      <c r="E10" s="6" t="s">
        <v>9</v>
      </c>
      <c r="F10" s="6" t="s">
        <v>10</v>
      </c>
      <c r="G10" s="6" t="s">
        <v>0</v>
      </c>
      <c r="H10" s="6" t="s">
        <v>12</v>
      </c>
    </row>
    <row r="11" spans="1:9" x14ac:dyDescent="0.2">
      <c r="A11" s="8" t="s">
        <v>11</v>
      </c>
      <c r="B11" s="10"/>
      <c r="C11" s="10"/>
      <c r="D11" s="10"/>
      <c r="E11" s="10"/>
      <c r="F11" s="10"/>
      <c r="G11" s="10">
        <f>F11</f>
        <v>0</v>
      </c>
      <c r="H11" s="10"/>
    </row>
    <row r="12" spans="1:9" x14ac:dyDescent="0.2">
      <c r="A12" s="8" t="s">
        <v>11</v>
      </c>
      <c r="B12" s="10"/>
      <c r="C12" s="10"/>
      <c r="D12" s="10"/>
      <c r="E12" s="10"/>
      <c r="F12" s="10"/>
      <c r="G12" s="10">
        <f t="shared" ref="G12:G14" si="2">G11+F12</f>
        <v>0</v>
      </c>
      <c r="H12" s="10"/>
    </row>
    <row r="13" spans="1:9" x14ac:dyDescent="0.2">
      <c r="A13" s="8" t="s">
        <v>11</v>
      </c>
      <c r="B13" s="10"/>
      <c r="C13" s="10"/>
      <c r="D13" s="10"/>
      <c r="E13" s="10"/>
      <c r="F13" s="10"/>
      <c r="G13" s="10">
        <f t="shared" si="2"/>
        <v>0</v>
      </c>
      <c r="H13" s="10"/>
    </row>
    <row r="14" spans="1:9" x14ac:dyDescent="0.2">
      <c r="A14" s="8" t="s">
        <v>11</v>
      </c>
      <c r="B14" s="10"/>
      <c r="C14" s="10"/>
      <c r="D14" s="10"/>
      <c r="E14" s="10"/>
      <c r="F14" s="10"/>
      <c r="G14" s="10">
        <f t="shared" si="2"/>
        <v>0</v>
      </c>
      <c r="H14" s="10"/>
    </row>
    <row r="15" spans="1:9" x14ac:dyDescent="0.2">
      <c r="A15" s="9"/>
      <c r="B15" s="9"/>
      <c r="C15" s="9"/>
      <c r="D15" s="9"/>
      <c r="E15" s="9"/>
      <c r="F15" s="9"/>
      <c r="G15" s="9"/>
      <c r="H15" s="9"/>
    </row>
    <row r="16" spans="1:9" x14ac:dyDescent="0.2">
      <c r="A16" s="6" t="s">
        <v>7</v>
      </c>
      <c r="B16" s="6" t="s">
        <v>23</v>
      </c>
      <c r="C16" s="6"/>
      <c r="D16" s="6" t="s">
        <v>8</v>
      </c>
      <c r="E16" s="6" t="s">
        <v>9</v>
      </c>
      <c r="F16" s="6" t="s">
        <v>10</v>
      </c>
      <c r="G16" s="6" t="s">
        <v>0</v>
      </c>
      <c r="H16" s="6" t="s">
        <v>13</v>
      </c>
      <c r="I16" s="17" t="s">
        <v>28</v>
      </c>
    </row>
    <row r="17" spans="1:10" x14ac:dyDescent="0.2">
      <c r="A17" s="8" t="s">
        <v>14</v>
      </c>
      <c r="B17" s="36">
        <v>2080927200000</v>
      </c>
      <c r="C17" s="10">
        <v>6</v>
      </c>
      <c r="D17" s="10">
        <v>264396</v>
      </c>
      <c r="E17" s="10">
        <v>264406</v>
      </c>
      <c r="F17" s="10">
        <f>(E17-D17)+1</f>
        <v>11</v>
      </c>
      <c r="G17" s="10">
        <f>F17</f>
        <v>11</v>
      </c>
      <c r="H17" s="10" t="s">
        <v>47</v>
      </c>
      <c r="I17">
        <v>11</v>
      </c>
      <c r="J17" s="23">
        <f>G17-I17</f>
        <v>0</v>
      </c>
    </row>
    <row r="18" spans="1:10" x14ac:dyDescent="0.2">
      <c r="A18" s="8" t="s">
        <v>14</v>
      </c>
      <c r="B18" s="10"/>
      <c r="C18" s="10"/>
      <c r="D18" s="10"/>
      <c r="E18" s="10"/>
      <c r="F18" s="10"/>
      <c r="G18" s="10"/>
      <c r="H18" s="10"/>
    </row>
    <row r="19" spans="1:10" x14ac:dyDescent="0.2">
      <c r="A19" s="8" t="s">
        <v>14</v>
      </c>
      <c r="B19" s="10"/>
      <c r="C19" s="10"/>
      <c r="D19" s="10"/>
      <c r="E19" s="10"/>
      <c r="F19" s="10"/>
      <c r="G19" s="10"/>
      <c r="H19" s="10"/>
    </row>
    <row r="20" spans="1:10" x14ac:dyDescent="0.2">
      <c r="A20" s="8" t="s">
        <v>14</v>
      </c>
      <c r="B20" s="10"/>
      <c r="C20" s="10"/>
      <c r="D20" s="10"/>
      <c r="E20" s="10"/>
      <c r="F20" s="10"/>
      <c r="G20" s="10"/>
      <c r="H2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J60"/>
  <sheetViews>
    <sheetView zoomScale="150" workbookViewId="0">
      <selection activeCell="I5" sqref="I5"/>
    </sheetView>
  </sheetViews>
  <sheetFormatPr baseColWidth="10" defaultColWidth="8.83203125" defaultRowHeight="15" x14ac:dyDescent="0.2"/>
  <cols>
    <col min="1" max="1" width="10.6640625" bestFit="1" customWidth="1"/>
    <col min="2" max="2" width="43.83203125" customWidth="1"/>
    <col min="3" max="3" width="4.33203125" style="2" customWidth="1"/>
    <col min="8" max="8" width="16.5" customWidth="1"/>
  </cols>
  <sheetData>
    <row r="4" spans="1:9" x14ac:dyDescent="0.2">
      <c r="A4" s="2"/>
      <c r="B4" s="2"/>
      <c r="D4" s="5" t="s">
        <v>1</v>
      </c>
      <c r="E4" s="5" t="s">
        <v>2</v>
      </c>
      <c r="F4" s="5" t="s">
        <v>14</v>
      </c>
      <c r="G4" s="5" t="s">
        <v>0</v>
      </c>
      <c r="H4" s="5" t="s">
        <v>3</v>
      </c>
    </row>
    <row r="5" spans="1:9" x14ac:dyDescent="0.2">
      <c r="A5" s="2"/>
      <c r="B5" s="2"/>
      <c r="D5" s="3">
        <f>H8</f>
        <v>5048</v>
      </c>
      <c r="E5" s="3">
        <f>I16</f>
        <v>325</v>
      </c>
      <c r="F5" s="1">
        <v>660</v>
      </c>
      <c r="G5" s="11"/>
      <c r="H5" s="3" t="s">
        <v>31</v>
      </c>
      <c r="I5">
        <v>48</v>
      </c>
    </row>
    <row r="6" spans="1:9" x14ac:dyDescent="0.2">
      <c r="A6" s="2"/>
      <c r="B6" s="2"/>
      <c r="D6" s="2"/>
      <c r="E6" s="2"/>
    </row>
    <row r="7" spans="1:9" x14ac:dyDescent="0.2">
      <c r="A7" s="6" t="s">
        <v>7</v>
      </c>
      <c r="B7" s="6" t="s">
        <v>23</v>
      </c>
      <c r="C7" s="6"/>
      <c r="D7" s="6" t="s">
        <v>8</v>
      </c>
      <c r="E7" s="6" t="s">
        <v>9</v>
      </c>
      <c r="F7" s="6" t="s">
        <v>10</v>
      </c>
      <c r="G7" s="6" t="s">
        <v>0</v>
      </c>
      <c r="H7" s="17" t="s">
        <v>35</v>
      </c>
    </row>
    <row r="8" spans="1:9" x14ac:dyDescent="0.2">
      <c r="A8" s="3" t="s">
        <v>1</v>
      </c>
      <c r="B8" s="1"/>
      <c r="C8" s="3" t="s">
        <v>5</v>
      </c>
      <c r="D8" s="1">
        <v>357130</v>
      </c>
      <c r="E8" s="1">
        <v>357677</v>
      </c>
      <c r="F8" s="1">
        <f>(E8-D8)+1</f>
        <v>548</v>
      </c>
      <c r="G8" s="1"/>
      <c r="H8" s="21">
        <v>5048</v>
      </c>
    </row>
    <row r="9" spans="1:9" x14ac:dyDescent="0.2">
      <c r="A9" s="3" t="s">
        <v>1</v>
      </c>
      <c r="B9" s="1"/>
      <c r="C9" s="3" t="s">
        <v>5</v>
      </c>
      <c r="D9" s="1">
        <v>356178</v>
      </c>
      <c r="E9" s="1">
        <v>357677</v>
      </c>
      <c r="F9" s="1">
        <f>(E9-D9)+1</f>
        <v>1500</v>
      </c>
      <c r="G9" s="1">
        <f>F8+F9</f>
        <v>2048</v>
      </c>
    </row>
    <row r="10" spans="1:9" x14ac:dyDescent="0.2">
      <c r="A10" s="3" t="s">
        <v>1</v>
      </c>
      <c r="B10" s="1"/>
      <c r="C10" s="3" t="s">
        <v>5</v>
      </c>
      <c r="D10" s="1">
        <v>363183</v>
      </c>
      <c r="E10" s="1">
        <v>364682</v>
      </c>
      <c r="F10" s="1">
        <f>(E10-D10)+1</f>
        <v>1500</v>
      </c>
      <c r="G10" s="1">
        <f>G9+F10</f>
        <v>3548</v>
      </c>
    </row>
    <row r="11" spans="1:9" x14ac:dyDescent="0.2">
      <c r="A11" s="3" t="s">
        <v>1</v>
      </c>
      <c r="B11" s="1"/>
      <c r="C11" s="3" t="s">
        <v>5</v>
      </c>
      <c r="D11" s="1">
        <v>365153</v>
      </c>
      <c r="E11" s="1">
        <v>366050</v>
      </c>
      <c r="F11" s="1">
        <f>(E11-D11)+1</f>
        <v>898</v>
      </c>
      <c r="G11" s="1">
        <f>G10+F11</f>
        <v>4446</v>
      </c>
    </row>
    <row r="12" spans="1:9" x14ac:dyDescent="0.2">
      <c r="A12" s="3" t="s">
        <v>1</v>
      </c>
      <c r="B12" s="1"/>
      <c r="C12" s="3" t="s">
        <v>5</v>
      </c>
      <c r="D12" s="1">
        <v>366051</v>
      </c>
      <c r="E12" s="1">
        <v>366652</v>
      </c>
      <c r="F12" s="1">
        <f>(E12-D12)+1</f>
        <v>602</v>
      </c>
      <c r="G12" s="11">
        <f>G11+F12</f>
        <v>5048</v>
      </c>
      <c r="H12" s="21">
        <f>H8-G12</f>
        <v>0</v>
      </c>
      <c r="I12" t="s">
        <v>39</v>
      </c>
    </row>
    <row r="13" spans="1:9" x14ac:dyDescent="0.2">
      <c r="A13" s="3" t="s">
        <v>1</v>
      </c>
      <c r="B13" s="1"/>
      <c r="C13" s="3" t="s">
        <v>5</v>
      </c>
      <c r="D13" s="1"/>
      <c r="E13" s="1"/>
      <c r="F13" s="1"/>
      <c r="G13" s="1"/>
    </row>
    <row r="15" spans="1:9" x14ac:dyDescent="0.2">
      <c r="A15" s="6" t="s">
        <v>7</v>
      </c>
      <c r="B15" s="6" t="s">
        <v>23</v>
      </c>
      <c r="C15" s="6"/>
      <c r="D15" s="6" t="s">
        <v>8</v>
      </c>
      <c r="E15" s="6" t="s">
        <v>9</v>
      </c>
      <c r="F15" s="6" t="s">
        <v>10</v>
      </c>
      <c r="G15" s="6" t="s">
        <v>0</v>
      </c>
      <c r="H15" s="6" t="s">
        <v>12</v>
      </c>
      <c r="I15" s="17" t="s">
        <v>35</v>
      </c>
    </row>
    <row r="16" spans="1:9" x14ac:dyDescent="0.2">
      <c r="A16" s="3" t="s">
        <v>11</v>
      </c>
      <c r="B16" s="43" t="s">
        <v>60</v>
      </c>
      <c r="C16" s="3" t="s">
        <v>5</v>
      </c>
      <c r="D16" s="1">
        <v>357105</v>
      </c>
      <c r="E16" s="1">
        <v>357129</v>
      </c>
      <c r="F16" s="1">
        <f t="shared" ref="F16:F24" si="0">(E16-D16)+1</f>
        <v>25</v>
      </c>
      <c r="G16" s="1">
        <f>F16</f>
        <v>25</v>
      </c>
      <c r="H16" s="1" t="s">
        <v>37</v>
      </c>
      <c r="I16" s="21">
        <v>325</v>
      </c>
    </row>
    <row r="17" spans="1:10" x14ac:dyDescent="0.2">
      <c r="A17" s="3" t="s">
        <v>11</v>
      </c>
      <c r="B17" s="43" t="s">
        <v>60</v>
      </c>
      <c r="C17" s="3" t="s">
        <v>5</v>
      </c>
      <c r="D17" s="1">
        <v>357080</v>
      </c>
      <c r="E17" s="1">
        <v>357104</v>
      </c>
      <c r="F17" s="1">
        <f t="shared" si="0"/>
        <v>25</v>
      </c>
      <c r="G17" s="1">
        <f t="shared" ref="G17:G24" si="1">G16+F17</f>
        <v>50</v>
      </c>
      <c r="H17" s="1" t="s">
        <v>37</v>
      </c>
    </row>
    <row r="18" spans="1:10" x14ac:dyDescent="0.2">
      <c r="A18" s="3" t="s">
        <v>11</v>
      </c>
      <c r="B18" s="43" t="s">
        <v>60</v>
      </c>
      <c r="C18" s="3" t="s">
        <v>5</v>
      </c>
      <c r="D18" s="1">
        <v>357055</v>
      </c>
      <c r="E18" s="1">
        <v>357079</v>
      </c>
      <c r="F18" s="1">
        <f t="shared" si="0"/>
        <v>25</v>
      </c>
      <c r="G18" s="1">
        <f t="shared" si="1"/>
        <v>75</v>
      </c>
      <c r="H18" s="1" t="s">
        <v>37</v>
      </c>
    </row>
    <row r="19" spans="1:10" x14ac:dyDescent="0.2">
      <c r="A19" s="3" t="s">
        <v>11</v>
      </c>
      <c r="B19" s="43" t="s">
        <v>60</v>
      </c>
      <c r="C19" s="3" t="s">
        <v>5</v>
      </c>
      <c r="D19" s="1">
        <v>357030</v>
      </c>
      <c r="E19" s="1">
        <v>357054</v>
      </c>
      <c r="F19" s="1">
        <f t="shared" si="0"/>
        <v>25</v>
      </c>
      <c r="G19" s="1">
        <f t="shared" si="1"/>
        <v>100</v>
      </c>
      <c r="H19" s="1" t="s">
        <v>37</v>
      </c>
    </row>
    <row r="20" spans="1:10" x14ac:dyDescent="0.2">
      <c r="A20" s="3" t="s">
        <v>11</v>
      </c>
      <c r="B20" s="43" t="s">
        <v>60</v>
      </c>
      <c r="C20" s="3" t="s">
        <v>5</v>
      </c>
      <c r="D20" s="1">
        <v>357005</v>
      </c>
      <c r="E20" s="1">
        <v>357029</v>
      </c>
      <c r="F20" s="1">
        <f t="shared" si="0"/>
        <v>25</v>
      </c>
      <c r="G20" s="1">
        <f t="shared" si="1"/>
        <v>125</v>
      </c>
      <c r="H20" s="1" t="s">
        <v>37</v>
      </c>
    </row>
    <row r="21" spans="1:10" x14ac:dyDescent="0.2">
      <c r="A21" s="3" t="s">
        <v>11</v>
      </c>
      <c r="B21" s="43" t="s">
        <v>60</v>
      </c>
      <c r="C21" s="3" t="s">
        <v>5</v>
      </c>
      <c r="D21" s="1">
        <v>356980</v>
      </c>
      <c r="E21" s="1">
        <v>357004</v>
      </c>
      <c r="F21" s="1">
        <f t="shared" si="0"/>
        <v>25</v>
      </c>
      <c r="G21" s="1">
        <f t="shared" si="1"/>
        <v>150</v>
      </c>
      <c r="H21" s="1" t="s">
        <v>37</v>
      </c>
    </row>
    <row r="22" spans="1:10" x14ac:dyDescent="0.2">
      <c r="A22" s="3" t="s">
        <v>11</v>
      </c>
      <c r="B22" s="43" t="s">
        <v>60</v>
      </c>
      <c r="C22" s="3" t="s">
        <v>5</v>
      </c>
      <c r="D22" s="1">
        <v>356955</v>
      </c>
      <c r="E22" s="1">
        <v>356979</v>
      </c>
      <c r="F22" s="1">
        <f t="shared" si="0"/>
        <v>25</v>
      </c>
      <c r="G22" s="1">
        <f t="shared" si="1"/>
        <v>175</v>
      </c>
      <c r="H22" s="1" t="s">
        <v>37</v>
      </c>
    </row>
    <row r="23" spans="1:10" x14ac:dyDescent="0.2">
      <c r="A23" s="3" t="s">
        <v>11</v>
      </c>
      <c r="B23" s="43" t="s">
        <v>60</v>
      </c>
      <c r="C23" s="3" t="s">
        <v>5</v>
      </c>
      <c r="D23" s="1">
        <v>356930</v>
      </c>
      <c r="E23" s="1">
        <v>356954</v>
      </c>
      <c r="F23" s="1">
        <f t="shared" si="0"/>
        <v>25</v>
      </c>
      <c r="G23" s="1">
        <f t="shared" si="1"/>
        <v>200</v>
      </c>
      <c r="H23" s="1" t="s">
        <v>37</v>
      </c>
    </row>
    <row r="24" spans="1:10" x14ac:dyDescent="0.2">
      <c r="A24" s="3" t="s">
        <v>11</v>
      </c>
      <c r="B24" s="43" t="s">
        <v>60</v>
      </c>
      <c r="C24" s="3" t="s">
        <v>5</v>
      </c>
      <c r="D24" s="1">
        <v>356905</v>
      </c>
      <c r="E24" s="1">
        <v>356929</v>
      </c>
      <c r="F24" s="1">
        <f t="shared" si="0"/>
        <v>25</v>
      </c>
      <c r="G24" s="1">
        <f t="shared" si="1"/>
        <v>225</v>
      </c>
      <c r="H24" s="1" t="s">
        <v>37</v>
      </c>
    </row>
    <row r="25" spans="1:10" x14ac:dyDescent="0.2">
      <c r="A25" s="3" t="s">
        <v>11</v>
      </c>
      <c r="B25" s="43" t="s">
        <v>60</v>
      </c>
      <c r="C25" s="3" t="s">
        <v>5</v>
      </c>
      <c r="D25" s="1">
        <v>356880</v>
      </c>
      <c r="E25" s="1">
        <v>356904</v>
      </c>
      <c r="F25" s="1">
        <f t="shared" ref="F25:F28" si="2">(E25-D25)+1</f>
        <v>25</v>
      </c>
      <c r="G25" s="1">
        <f t="shared" ref="G25:G28" si="3">G24+F25</f>
        <v>250</v>
      </c>
      <c r="H25" s="1" t="s">
        <v>37</v>
      </c>
    </row>
    <row r="26" spans="1:10" x14ac:dyDescent="0.2">
      <c r="A26" s="3" t="s">
        <v>11</v>
      </c>
      <c r="B26" s="43" t="s">
        <v>60</v>
      </c>
      <c r="C26" s="3" t="s">
        <v>5</v>
      </c>
      <c r="D26" s="1">
        <v>356855</v>
      </c>
      <c r="E26" s="1">
        <v>356879</v>
      </c>
      <c r="F26" s="1">
        <f t="shared" si="2"/>
        <v>25</v>
      </c>
      <c r="G26" s="1">
        <f t="shared" si="3"/>
        <v>275</v>
      </c>
      <c r="H26" s="1" t="s">
        <v>37</v>
      </c>
    </row>
    <row r="27" spans="1:10" x14ac:dyDescent="0.2">
      <c r="A27" s="3" t="s">
        <v>11</v>
      </c>
      <c r="B27" s="43" t="s">
        <v>60</v>
      </c>
      <c r="C27" s="3" t="s">
        <v>5</v>
      </c>
      <c r="D27" s="1">
        <v>356830</v>
      </c>
      <c r="E27" s="1">
        <v>356854</v>
      </c>
      <c r="F27" s="1">
        <f t="shared" si="2"/>
        <v>25</v>
      </c>
      <c r="G27" s="1">
        <f t="shared" si="3"/>
        <v>300</v>
      </c>
      <c r="H27" s="1" t="s">
        <v>37</v>
      </c>
    </row>
    <row r="28" spans="1:10" x14ac:dyDescent="0.2">
      <c r="A28" s="3" t="s">
        <v>11</v>
      </c>
      <c r="B28" s="43" t="s">
        <v>60</v>
      </c>
      <c r="C28" s="3" t="s">
        <v>5</v>
      </c>
      <c r="D28" s="1">
        <v>356805</v>
      </c>
      <c r="E28" s="1">
        <v>356829</v>
      </c>
      <c r="F28" s="1">
        <f t="shared" si="2"/>
        <v>25</v>
      </c>
      <c r="G28" s="1">
        <f t="shared" si="3"/>
        <v>325</v>
      </c>
      <c r="H28" s="1" t="s">
        <v>37</v>
      </c>
      <c r="I28" s="21">
        <f>I16-G28</f>
        <v>0</v>
      </c>
      <c r="J28" t="s">
        <v>38</v>
      </c>
    </row>
    <row r="29" spans="1:10" x14ac:dyDescent="0.2">
      <c r="A29" s="3" t="s">
        <v>11</v>
      </c>
      <c r="B29" s="43" t="s">
        <v>60</v>
      </c>
      <c r="C29" s="3" t="s">
        <v>5</v>
      </c>
      <c r="D29" s="1"/>
      <c r="E29" s="1"/>
      <c r="F29" s="1"/>
      <c r="G29" s="11"/>
      <c r="H29" s="1"/>
    </row>
    <row r="31" spans="1:10" x14ac:dyDescent="0.2">
      <c r="A31" s="6" t="s">
        <v>7</v>
      </c>
      <c r="B31" s="6" t="s">
        <v>23</v>
      </c>
      <c r="C31" s="6"/>
      <c r="D31" s="6" t="s">
        <v>8</v>
      </c>
      <c r="E31" s="6" t="s">
        <v>9</v>
      </c>
      <c r="F31" s="6" t="s">
        <v>10</v>
      </c>
      <c r="G31" s="6" t="s">
        <v>0</v>
      </c>
      <c r="H31" s="6" t="s">
        <v>13</v>
      </c>
      <c r="I31" s="17" t="s">
        <v>28</v>
      </c>
    </row>
    <row r="32" spans="1:10" x14ac:dyDescent="0.2">
      <c r="A32" s="3" t="s">
        <v>14</v>
      </c>
      <c r="B32" s="38">
        <v>8080009918001</v>
      </c>
      <c r="C32" s="3" t="s">
        <v>5</v>
      </c>
      <c r="D32" s="1">
        <v>356530</v>
      </c>
      <c r="E32" s="1">
        <v>356554</v>
      </c>
      <c r="F32" s="1">
        <f>(E32-D32)+1</f>
        <v>25</v>
      </c>
      <c r="G32" s="1">
        <f>F32</f>
        <v>25</v>
      </c>
      <c r="H32" s="1" t="s">
        <v>57</v>
      </c>
      <c r="I32">
        <v>660</v>
      </c>
    </row>
    <row r="33" spans="1:8" x14ac:dyDescent="0.2">
      <c r="A33" s="3" t="s">
        <v>14</v>
      </c>
      <c r="B33" s="38">
        <v>8080009918001</v>
      </c>
      <c r="C33" s="3" t="s">
        <v>5</v>
      </c>
      <c r="D33" s="1">
        <v>356680</v>
      </c>
      <c r="E33" s="1">
        <v>356704</v>
      </c>
      <c r="F33" s="1">
        <f>(E33-D33)+1</f>
        <v>25</v>
      </c>
      <c r="G33" s="1">
        <f>G32+F33</f>
        <v>50</v>
      </c>
      <c r="H33" s="1" t="s">
        <v>57</v>
      </c>
    </row>
    <row r="34" spans="1:8" x14ac:dyDescent="0.2">
      <c r="A34" s="3" t="s">
        <v>14</v>
      </c>
      <c r="B34" s="38">
        <v>8080009918001</v>
      </c>
      <c r="C34" s="3" t="s">
        <v>5</v>
      </c>
      <c r="D34" s="1">
        <v>356780</v>
      </c>
      <c r="E34" s="1">
        <v>356804</v>
      </c>
      <c r="F34" s="1">
        <f>(E34-D34)+1</f>
        <v>25</v>
      </c>
      <c r="G34" s="1">
        <f>G33+F34</f>
        <v>75</v>
      </c>
      <c r="H34" s="1" t="s">
        <v>57</v>
      </c>
    </row>
    <row r="35" spans="1:8" x14ac:dyDescent="0.2">
      <c r="A35" s="3" t="s">
        <v>14</v>
      </c>
      <c r="B35" s="38">
        <v>8080009918001</v>
      </c>
      <c r="C35" s="3" t="s">
        <v>5</v>
      </c>
      <c r="D35" s="1">
        <v>356255</v>
      </c>
      <c r="E35" s="1">
        <v>356279</v>
      </c>
      <c r="F35" s="1">
        <f>(E35-D35)+1</f>
        <v>25</v>
      </c>
      <c r="G35" s="1">
        <f>G34+F35</f>
        <v>100</v>
      </c>
      <c r="H35" s="1" t="s">
        <v>57</v>
      </c>
    </row>
    <row r="36" spans="1:8" x14ac:dyDescent="0.2">
      <c r="A36" s="3" t="s">
        <v>14</v>
      </c>
      <c r="B36" s="38">
        <v>8080009918001</v>
      </c>
      <c r="C36" s="3" t="s">
        <v>5</v>
      </c>
      <c r="D36" s="1">
        <v>356580</v>
      </c>
      <c r="E36" s="1">
        <v>356604</v>
      </c>
      <c r="F36" s="1">
        <f>(E36-D36)+1</f>
        <v>25</v>
      </c>
      <c r="G36" s="1">
        <f>G35+F36</f>
        <v>125</v>
      </c>
      <c r="H36" s="1" t="s">
        <v>57</v>
      </c>
    </row>
    <row r="37" spans="1:8" x14ac:dyDescent="0.2">
      <c r="A37" s="3" t="s">
        <v>14</v>
      </c>
      <c r="B37" s="38">
        <v>8080009918001</v>
      </c>
      <c r="C37" s="3" t="s">
        <v>5</v>
      </c>
      <c r="D37" s="1">
        <v>356480</v>
      </c>
      <c r="E37" s="1">
        <v>356504</v>
      </c>
      <c r="F37" s="1">
        <f t="shared" ref="F37:F45" si="4">(E37-D37)+1</f>
        <v>25</v>
      </c>
      <c r="G37" s="1">
        <f t="shared" ref="G37:G45" si="5">G36+F37</f>
        <v>150</v>
      </c>
      <c r="H37" s="1" t="s">
        <v>57</v>
      </c>
    </row>
    <row r="38" spans="1:8" x14ac:dyDescent="0.2">
      <c r="A38" s="3" t="s">
        <v>14</v>
      </c>
      <c r="B38" s="38">
        <v>8080009918001</v>
      </c>
      <c r="C38" s="3" t="s">
        <v>5</v>
      </c>
      <c r="D38" s="1">
        <v>356305</v>
      </c>
      <c r="E38" s="1">
        <v>356329</v>
      </c>
      <c r="F38" s="1">
        <f t="shared" si="4"/>
        <v>25</v>
      </c>
      <c r="G38" s="1">
        <f t="shared" si="5"/>
        <v>175</v>
      </c>
      <c r="H38" s="1" t="s">
        <v>57</v>
      </c>
    </row>
    <row r="39" spans="1:8" x14ac:dyDescent="0.2">
      <c r="A39" s="3" t="s">
        <v>14</v>
      </c>
      <c r="B39" s="38">
        <v>8080009918001</v>
      </c>
      <c r="C39" s="3" t="s">
        <v>5</v>
      </c>
      <c r="D39" s="1">
        <v>356230</v>
      </c>
      <c r="E39" s="1">
        <v>356254</v>
      </c>
      <c r="F39" s="1">
        <f t="shared" si="4"/>
        <v>25</v>
      </c>
      <c r="G39" s="1">
        <f t="shared" si="5"/>
        <v>200</v>
      </c>
      <c r="H39" s="1" t="s">
        <v>57</v>
      </c>
    </row>
    <row r="40" spans="1:8" x14ac:dyDescent="0.2">
      <c r="A40" s="3" t="s">
        <v>14</v>
      </c>
      <c r="B40" s="38">
        <v>8080009918001</v>
      </c>
      <c r="C40" s="3" t="s">
        <v>5</v>
      </c>
      <c r="D40" s="1">
        <v>356380</v>
      </c>
      <c r="E40" s="1">
        <v>356404</v>
      </c>
      <c r="F40" s="1">
        <f t="shared" si="4"/>
        <v>25</v>
      </c>
      <c r="G40" s="1">
        <f t="shared" si="5"/>
        <v>225</v>
      </c>
      <c r="H40" s="1" t="s">
        <v>57</v>
      </c>
    </row>
    <row r="41" spans="1:8" x14ac:dyDescent="0.2">
      <c r="A41" s="3" t="s">
        <v>14</v>
      </c>
      <c r="B41" s="38">
        <v>8080009918001</v>
      </c>
      <c r="C41" s="3" t="s">
        <v>5</v>
      </c>
      <c r="D41" s="1">
        <v>356755</v>
      </c>
      <c r="E41" s="1">
        <v>356779</v>
      </c>
      <c r="F41" s="1">
        <f t="shared" si="4"/>
        <v>25</v>
      </c>
      <c r="G41" s="1">
        <f t="shared" si="5"/>
        <v>250</v>
      </c>
      <c r="H41" s="1" t="s">
        <v>57</v>
      </c>
    </row>
    <row r="42" spans="1:8" x14ac:dyDescent="0.2">
      <c r="A42" s="3" t="s">
        <v>14</v>
      </c>
      <c r="B42" s="38">
        <v>8080009918001</v>
      </c>
      <c r="C42" s="3" t="s">
        <v>5</v>
      </c>
      <c r="D42" s="1">
        <v>356405</v>
      </c>
      <c r="E42" s="1">
        <v>356429</v>
      </c>
      <c r="F42" s="1">
        <f t="shared" si="4"/>
        <v>25</v>
      </c>
      <c r="G42" s="1">
        <f t="shared" si="5"/>
        <v>275</v>
      </c>
      <c r="H42" s="1" t="s">
        <v>57</v>
      </c>
    </row>
    <row r="43" spans="1:8" x14ac:dyDescent="0.2">
      <c r="A43" s="3" t="s">
        <v>14</v>
      </c>
      <c r="B43" s="38">
        <v>8080009918001</v>
      </c>
      <c r="C43" s="3" t="s">
        <v>5</v>
      </c>
      <c r="D43" s="1">
        <v>356455</v>
      </c>
      <c r="E43" s="1">
        <v>356479</v>
      </c>
      <c r="F43" s="1">
        <f t="shared" si="4"/>
        <v>25</v>
      </c>
      <c r="G43" s="1">
        <f t="shared" si="5"/>
        <v>300</v>
      </c>
      <c r="H43" s="1" t="s">
        <v>57</v>
      </c>
    </row>
    <row r="44" spans="1:8" x14ac:dyDescent="0.2">
      <c r="A44" s="3" t="s">
        <v>14</v>
      </c>
      <c r="B44" s="38">
        <v>8080009918001</v>
      </c>
      <c r="C44" s="3" t="s">
        <v>5</v>
      </c>
      <c r="D44" s="1">
        <v>356355</v>
      </c>
      <c r="E44" s="1">
        <v>356379</v>
      </c>
      <c r="F44" s="1">
        <f t="shared" si="4"/>
        <v>25</v>
      </c>
      <c r="G44" s="1">
        <f t="shared" si="5"/>
        <v>325</v>
      </c>
      <c r="H44" s="1" t="s">
        <v>57</v>
      </c>
    </row>
    <row r="45" spans="1:8" x14ac:dyDescent="0.2">
      <c r="A45" s="3" t="s">
        <v>14</v>
      </c>
      <c r="B45" s="38">
        <v>8080009918001</v>
      </c>
      <c r="C45" s="3" t="s">
        <v>5</v>
      </c>
      <c r="D45" s="1">
        <v>356330</v>
      </c>
      <c r="E45" s="1">
        <v>356354</v>
      </c>
      <c r="F45" s="1">
        <f t="shared" si="4"/>
        <v>25</v>
      </c>
      <c r="G45" s="1">
        <f t="shared" si="5"/>
        <v>350</v>
      </c>
      <c r="H45" s="1" t="s">
        <v>57</v>
      </c>
    </row>
    <row r="46" spans="1:8" x14ac:dyDescent="0.2">
      <c r="A46" s="3" t="s">
        <v>14</v>
      </c>
      <c r="B46" s="38">
        <v>8080009918001</v>
      </c>
      <c r="C46" s="3" t="s">
        <v>5</v>
      </c>
      <c r="D46" s="1">
        <v>354750</v>
      </c>
      <c r="E46" s="1">
        <v>354774</v>
      </c>
      <c r="F46" s="1">
        <f t="shared" ref="F46:F53" si="6">(E46-D46)+1</f>
        <v>25</v>
      </c>
      <c r="G46" s="1">
        <f t="shared" ref="G46:G53" si="7">G45+F46</f>
        <v>375</v>
      </c>
      <c r="H46" s="1" t="s">
        <v>57</v>
      </c>
    </row>
    <row r="47" spans="1:8" x14ac:dyDescent="0.2">
      <c r="A47" s="3" t="s">
        <v>14</v>
      </c>
      <c r="B47" s="38">
        <v>8080009918001</v>
      </c>
      <c r="C47" s="3" t="s">
        <v>5</v>
      </c>
      <c r="D47" s="1">
        <v>354775</v>
      </c>
      <c r="E47" s="1">
        <v>354799</v>
      </c>
      <c r="F47" s="1">
        <f t="shared" si="6"/>
        <v>25</v>
      </c>
      <c r="G47" s="1">
        <f t="shared" si="7"/>
        <v>400</v>
      </c>
      <c r="H47" s="1" t="s">
        <v>57</v>
      </c>
    </row>
    <row r="48" spans="1:8" x14ac:dyDescent="0.2">
      <c r="A48" s="3" t="s">
        <v>14</v>
      </c>
      <c r="B48" s="38">
        <v>8080009918001</v>
      </c>
      <c r="C48" s="3" t="s">
        <v>5</v>
      </c>
      <c r="D48" s="1">
        <v>356205</v>
      </c>
      <c r="E48" s="1">
        <v>356229</v>
      </c>
      <c r="F48" s="1">
        <f t="shared" si="6"/>
        <v>25</v>
      </c>
      <c r="G48" s="1">
        <f t="shared" si="7"/>
        <v>425</v>
      </c>
      <c r="H48" s="1" t="s">
        <v>57</v>
      </c>
    </row>
    <row r="49" spans="1:10" x14ac:dyDescent="0.2">
      <c r="A49" s="3" t="s">
        <v>14</v>
      </c>
      <c r="B49" s="38">
        <v>8080009918001</v>
      </c>
      <c r="C49" s="3" t="s">
        <v>5</v>
      </c>
      <c r="D49" s="1">
        <v>354700</v>
      </c>
      <c r="E49" s="1">
        <v>354724</v>
      </c>
      <c r="F49" s="1">
        <f t="shared" si="6"/>
        <v>25</v>
      </c>
      <c r="G49" s="1">
        <f t="shared" si="7"/>
        <v>450</v>
      </c>
      <c r="H49" s="1" t="s">
        <v>57</v>
      </c>
    </row>
    <row r="50" spans="1:10" x14ac:dyDescent="0.2">
      <c r="A50" s="3" t="s">
        <v>14</v>
      </c>
      <c r="B50" s="38">
        <v>8080009918001</v>
      </c>
      <c r="C50" s="3" t="s">
        <v>5</v>
      </c>
      <c r="D50" s="1">
        <v>354725</v>
      </c>
      <c r="E50" s="1">
        <v>354749</v>
      </c>
      <c r="F50" s="1">
        <f t="shared" si="6"/>
        <v>25</v>
      </c>
      <c r="G50" s="1">
        <f t="shared" si="7"/>
        <v>475</v>
      </c>
      <c r="H50" s="1" t="s">
        <v>57</v>
      </c>
    </row>
    <row r="51" spans="1:10" x14ac:dyDescent="0.2">
      <c r="A51" s="3" t="s">
        <v>14</v>
      </c>
      <c r="B51" s="38">
        <v>8080009918001</v>
      </c>
      <c r="C51" s="3" t="s">
        <v>5</v>
      </c>
      <c r="D51" s="1">
        <v>354650</v>
      </c>
      <c r="E51" s="1">
        <v>354674</v>
      </c>
      <c r="F51" s="1">
        <f t="shared" si="6"/>
        <v>25</v>
      </c>
      <c r="G51" s="1">
        <f t="shared" si="7"/>
        <v>500</v>
      </c>
      <c r="H51" s="1" t="s">
        <v>57</v>
      </c>
    </row>
    <row r="52" spans="1:10" x14ac:dyDescent="0.2">
      <c r="A52" s="3" t="s">
        <v>14</v>
      </c>
      <c r="B52" s="38">
        <v>8080009918001</v>
      </c>
      <c r="C52" s="3" t="s">
        <v>5</v>
      </c>
      <c r="D52" s="1">
        <v>354825</v>
      </c>
      <c r="E52" s="1">
        <v>354847</v>
      </c>
      <c r="F52" s="1">
        <f t="shared" si="6"/>
        <v>23</v>
      </c>
      <c r="G52" s="1">
        <f>G51+F52</f>
        <v>523</v>
      </c>
      <c r="H52" s="1" t="s">
        <v>57</v>
      </c>
    </row>
    <row r="53" spans="1:10" x14ac:dyDescent="0.2">
      <c r="A53" s="3" t="s">
        <v>14</v>
      </c>
      <c r="B53" s="38">
        <v>8080009918001</v>
      </c>
      <c r="C53" s="3" t="s">
        <v>5</v>
      </c>
      <c r="D53" s="1">
        <v>356178</v>
      </c>
      <c r="E53" s="1">
        <v>356179</v>
      </c>
      <c r="F53" s="1">
        <f t="shared" si="6"/>
        <v>2</v>
      </c>
      <c r="G53" s="1">
        <f t="shared" si="7"/>
        <v>525</v>
      </c>
      <c r="H53" s="1" t="s">
        <v>57</v>
      </c>
    </row>
    <row r="54" spans="1:10" x14ac:dyDescent="0.2">
      <c r="A54" s="3" t="s">
        <v>14</v>
      </c>
      <c r="B54" s="38">
        <v>8080009918001</v>
      </c>
      <c r="C54" s="3" t="s">
        <v>5</v>
      </c>
      <c r="D54" s="1">
        <v>354675</v>
      </c>
      <c r="E54" s="1">
        <v>354699</v>
      </c>
      <c r="F54" s="1">
        <f t="shared" ref="F54:F60" si="8">(E54-D54)+1</f>
        <v>25</v>
      </c>
      <c r="G54" s="1">
        <f t="shared" ref="G54:G60" si="9">G53+F54</f>
        <v>550</v>
      </c>
      <c r="H54" s="1" t="s">
        <v>57</v>
      </c>
    </row>
    <row r="55" spans="1:10" x14ac:dyDescent="0.2">
      <c r="A55" s="3" t="s">
        <v>14</v>
      </c>
      <c r="B55" s="38">
        <v>8080009918001</v>
      </c>
      <c r="C55" s="3" t="s">
        <v>5</v>
      </c>
      <c r="D55" s="1">
        <v>354625</v>
      </c>
      <c r="E55" s="1">
        <v>354649</v>
      </c>
      <c r="F55" s="1">
        <f t="shared" si="8"/>
        <v>25</v>
      </c>
      <c r="G55" s="1">
        <f t="shared" si="9"/>
        <v>575</v>
      </c>
      <c r="H55" s="1" t="s">
        <v>57</v>
      </c>
    </row>
    <row r="56" spans="1:10" x14ac:dyDescent="0.2">
      <c r="A56" s="3" t="s">
        <v>14</v>
      </c>
      <c r="B56" s="38">
        <v>8080009918001</v>
      </c>
      <c r="C56" s="3" t="s">
        <v>5</v>
      </c>
      <c r="D56" s="1">
        <v>356180</v>
      </c>
      <c r="E56" s="1">
        <v>356204</v>
      </c>
      <c r="F56" s="1">
        <f t="shared" si="8"/>
        <v>25</v>
      </c>
      <c r="G56" s="1">
        <f t="shared" si="9"/>
        <v>600</v>
      </c>
      <c r="H56" s="1" t="s">
        <v>57</v>
      </c>
    </row>
    <row r="57" spans="1:10" x14ac:dyDescent="0.2">
      <c r="A57" s="3" t="s">
        <v>14</v>
      </c>
      <c r="B57" s="38">
        <v>8080009918001</v>
      </c>
      <c r="C57" s="3" t="s">
        <v>5</v>
      </c>
      <c r="D57" s="1">
        <v>356730</v>
      </c>
      <c r="E57" s="1">
        <v>356754</v>
      </c>
      <c r="F57" s="1">
        <f t="shared" si="8"/>
        <v>25</v>
      </c>
      <c r="G57" s="1">
        <f t="shared" si="9"/>
        <v>625</v>
      </c>
      <c r="H57" s="1" t="s">
        <v>57</v>
      </c>
    </row>
    <row r="58" spans="1:10" x14ac:dyDescent="0.2">
      <c r="A58" s="3" t="s">
        <v>14</v>
      </c>
      <c r="B58" s="38">
        <v>8080009918001</v>
      </c>
      <c r="C58" s="3" t="s">
        <v>5</v>
      </c>
      <c r="D58" s="1">
        <v>354800</v>
      </c>
      <c r="E58" s="1">
        <v>354824</v>
      </c>
      <c r="F58" s="1">
        <f t="shared" si="8"/>
        <v>25</v>
      </c>
      <c r="G58" s="1">
        <f t="shared" si="9"/>
        <v>650</v>
      </c>
      <c r="H58" s="1" t="s">
        <v>57</v>
      </c>
    </row>
    <row r="59" spans="1:10" x14ac:dyDescent="0.2">
      <c r="A59" s="3" t="s">
        <v>14</v>
      </c>
      <c r="B59" s="38">
        <v>8080009918001</v>
      </c>
      <c r="C59" s="3" t="s">
        <v>5</v>
      </c>
      <c r="D59" s="1">
        <v>356705</v>
      </c>
      <c r="E59" s="1">
        <v>356714</v>
      </c>
      <c r="F59" s="1">
        <f t="shared" si="8"/>
        <v>10</v>
      </c>
      <c r="G59" s="1">
        <f t="shared" si="9"/>
        <v>660</v>
      </c>
      <c r="H59" s="1" t="s">
        <v>57</v>
      </c>
    </row>
    <row r="60" spans="1:10" x14ac:dyDescent="0.2">
      <c r="A60" s="3" t="s">
        <v>14</v>
      </c>
      <c r="B60" s="38">
        <v>8080009918001</v>
      </c>
      <c r="C60" s="3" t="s">
        <v>5</v>
      </c>
      <c r="D60" s="1">
        <v>356715</v>
      </c>
      <c r="E60" s="1">
        <v>356715</v>
      </c>
      <c r="F60" s="1">
        <f t="shared" si="8"/>
        <v>1</v>
      </c>
      <c r="G60" s="1">
        <f t="shared" si="9"/>
        <v>661</v>
      </c>
      <c r="H60" s="1" t="s">
        <v>57</v>
      </c>
      <c r="I60" s="15">
        <f>G60-I32</f>
        <v>1</v>
      </c>
      <c r="J60" t="s">
        <v>39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9"/>
  <sheetViews>
    <sheetView tabSelected="1" workbookViewId="0">
      <selection activeCell="A6" activeCellId="4" sqref="A14:A29 A11 A8 A7 A6"/>
    </sheetView>
  </sheetViews>
  <sheetFormatPr baseColWidth="10" defaultColWidth="8.83203125" defaultRowHeight="15" x14ac:dyDescent="0.2"/>
  <cols>
    <col min="1" max="1" width="11" customWidth="1"/>
    <col min="2" max="2" width="27.33203125" customWidth="1"/>
    <col min="8" max="8" width="16.1640625" customWidth="1"/>
  </cols>
  <sheetData>
    <row r="1" spans="1:9" x14ac:dyDescent="0.2">
      <c r="A1" s="2"/>
      <c r="B1" s="2"/>
      <c r="C1" s="2"/>
      <c r="D1" s="5" t="s">
        <v>1</v>
      </c>
      <c r="E1" s="5" t="s">
        <v>2</v>
      </c>
      <c r="F1" s="5" t="s">
        <v>14</v>
      </c>
      <c r="G1" s="5" t="s">
        <v>0</v>
      </c>
      <c r="H1" s="5" t="s">
        <v>3</v>
      </c>
    </row>
    <row r="2" spans="1:9" x14ac:dyDescent="0.2">
      <c r="A2" s="2"/>
      <c r="B2" s="2"/>
      <c r="C2" s="2"/>
      <c r="D2" s="3">
        <v>2340</v>
      </c>
      <c r="E2" s="3">
        <v>200</v>
      </c>
      <c r="F2" s="1"/>
      <c r="G2" s="11">
        <f>D2+E2+F2</f>
        <v>2540</v>
      </c>
      <c r="H2" s="3" t="s">
        <v>31</v>
      </c>
    </row>
    <row r="3" spans="1:9" x14ac:dyDescent="0.2">
      <c r="A3" s="2"/>
      <c r="B3" s="2"/>
      <c r="C3" s="2"/>
      <c r="D3" s="3"/>
      <c r="E3" s="3"/>
      <c r="F3" s="1"/>
      <c r="G3" s="11"/>
      <c r="H3" s="3"/>
    </row>
    <row r="4" spans="1:9" x14ac:dyDescent="0.2">
      <c r="A4" s="2"/>
      <c r="B4" s="2"/>
      <c r="C4" s="2"/>
      <c r="D4" s="2"/>
      <c r="E4" s="2"/>
    </row>
    <row r="5" spans="1:9" x14ac:dyDescent="0.2">
      <c r="A5" s="6" t="s">
        <v>7</v>
      </c>
      <c r="B5" s="6" t="s">
        <v>23</v>
      </c>
      <c r="C5" s="6"/>
      <c r="D5" s="6" t="s">
        <v>8</v>
      </c>
      <c r="E5" s="6" t="s">
        <v>9</v>
      </c>
      <c r="F5" s="6" t="s">
        <v>10</v>
      </c>
      <c r="G5" s="6" t="s">
        <v>0</v>
      </c>
      <c r="H5" s="17" t="s">
        <v>35</v>
      </c>
    </row>
    <row r="6" spans="1:9" x14ac:dyDescent="0.2">
      <c r="A6" s="3" t="s">
        <v>1</v>
      </c>
      <c r="B6" s="1"/>
      <c r="C6" s="1" t="s">
        <v>5</v>
      </c>
      <c r="D6" s="1">
        <v>138680</v>
      </c>
      <c r="E6" s="1">
        <v>139019</v>
      </c>
      <c r="F6" s="1">
        <f>(E6-D6)+1</f>
        <v>340</v>
      </c>
      <c r="G6" s="1"/>
      <c r="H6" s="21">
        <v>2340</v>
      </c>
    </row>
    <row r="7" spans="1:9" x14ac:dyDescent="0.2">
      <c r="A7" s="3" t="s">
        <v>1</v>
      </c>
      <c r="B7" s="1">
        <v>7</v>
      </c>
      <c r="C7" s="1" t="s">
        <v>5</v>
      </c>
      <c r="D7" s="1">
        <v>141020</v>
      </c>
      <c r="E7" s="1">
        <v>142019</v>
      </c>
      <c r="F7" s="1">
        <f>(E7-D7)+1</f>
        <v>1000</v>
      </c>
      <c r="G7" s="1">
        <f>F6+F7</f>
        <v>1340</v>
      </c>
    </row>
    <row r="8" spans="1:9" x14ac:dyDescent="0.2">
      <c r="A8" s="3" t="s">
        <v>1</v>
      </c>
      <c r="B8" s="1">
        <v>8</v>
      </c>
      <c r="C8" s="1" t="s">
        <v>5</v>
      </c>
      <c r="D8" s="1">
        <v>142020</v>
      </c>
      <c r="E8" s="1">
        <v>143019</v>
      </c>
      <c r="F8" s="1">
        <f>(E8-D8)+1</f>
        <v>1000</v>
      </c>
      <c r="G8" s="11">
        <f>G7+F8</f>
        <v>2340</v>
      </c>
    </row>
    <row r="10" spans="1:9" x14ac:dyDescent="0.2">
      <c r="A10" s="6" t="s">
        <v>7</v>
      </c>
      <c r="B10" s="6" t="s">
        <v>23</v>
      </c>
      <c r="C10" s="6"/>
      <c r="D10" s="6" t="s">
        <v>8</v>
      </c>
      <c r="E10" s="6" t="s">
        <v>9</v>
      </c>
      <c r="F10" s="6" t="s">
        <v>10</v>
      </c>
      <c r="G10" s="6" t="s">
        <v>0</v>
      </c>
      <c r="H10" s="6" t="s">
        <v>12</v>
      </c>
      <c r="I10" s="17" t="s">
        <v>28</v>
      </c>
    </row>
    <row r="11" spans="1:9" x14ac:dyDescent="0.2">
      <c r="A11" s="3" t="s">
        <v>11</v>
      </c>
      <c r="B11" s="44" t="s">
        <v>61</v>
      </c>
      <c r="C11" s="1"/>
      <c r="D11" s="1">
        <v>138480</v>
      </c>
      <c r="E11" s="1">
        <v>138679</v>
      </c>
      <c r="F11" s="1">
        <f>(E11-D11)+1</f>
        <v>200</v>
      </c>
      <c r="G11" s="11">
        <f>F11</f>
        <v>200</v>
      </c>
      <c r="H11" s="1"/>
      <c r="I11" s="21">
        <v>200</v>
      </c>
    </row>
    <row r="13" spans="1:9" x14ac:dyDescent="0.2">
      <c r="A13" s="6" t="s">
        <v>7</v>
      </c>
      <c r="B13" s="6" t="s">
        <v>23</v>
      </c>
      <c r="C13" s="6"/>
      <c r="D13" s="6" t="s">
        <v>8</v>
      </c>
      <c r="E13" s="6" t="s">
        <v>9</v>
      </c>
      <c r="F13" s="6" t="s">
        <v>10</v>
      </c>
      <c r="G13" s="6" t="s">
        <v>0</v>
      </c>
      <c r="H13" s="6" t="s">
        <v>13</v>
      </c>
      <c r="I13" s="17" t="s">
        <v>28</v>
      </c>
    </row>
    <row r="14" spans="1:9" x14ac:dyDescent="0.2">
      <c r="A14" s="3" t="s">
        <v>14</v>
      </c>
      <c r="B14" s="39">
        <v>9070010000000</v>
      </c>
      <c r="C14" s="40" t="s">
        <v>5</v>
      </c>
      <c r="D14" s="1">
        <v>135960</v>
      </c>
      <c r="E14" s="1">
        <v>135999</v>
      </c>
      <c r="F14" s="1">
        <f>(E14-D14)+1</f>
        <v>40</v>
      </c>
      <c r="G14" s="1">
        <f>F14</f>
        <v>40</v>
      </c>
      <c r="H14" s="42" t="s">
        <v>58</v>
      </c>
      <c r="I14" s="41">
        <v>447</v>
      </c>
    </row>
    <row r="15" spans="1:9" x14ac:dyDescent="0.2">
      <c r="A15" s="3" t="s">
        <v>14</v>
      </c>
      <c r="B15" s="39">
        <v>9070010000000</v>
      </c>
      <c r="C15" s="40" t="s">
        <v>5</v>
      </c>
      <c r="D15" s="1">
        <v>138457</v>
      </c>
      <c r="E15" s="1">
        <v>138459</v>
      </c>
      <c r="F15" s="1">
        <f>(E15-D15)+1</f>
        <v>3</v>
      </c>
      <c r="G15" s="1">
        <f>G14+F15</f>
        <v>43</v>
      </c>
      <c r="H15" s="42" t="s">
        <v>58</v>
      </c>
    </row>
    <row r="16" spans="1:9" x14ac:dyDescent="0.2">
      <c r="A16" s="3" t="s">
        <v>14</v>
      </c>
      <c r="B16" s="39">
        <v>9070010000000</v>
      </c>
      <c r="C16" s="40" t="s">
        <v>5</v>
      </c>
      <c r="D16" s="1">
        <v>138455</v>
      </c>
      <c r="E16" s="1">
        <v>138455</v>
      </c>
      <c r="F16" s="1">
        <f t="shared" ref="F16:F29" si="0">(E16-D16)+1</f>
        <v>1</v>
      </c>
      <c r="G16" s="1">
        <f>G15+F16</f>
        <v>44</v>
      </c>
      <c r="H16" s="42" t="s">
        <v>58</v>
      </c>
    </row>
    <row r="17" spans="1:10" x14ac:dyDescent="0.2">
      <c r="A17" s="3" t="s">
        <v>14</v>
      </c>
      <c r="B17" s="39">
        <v>9070010000000</v>
      </c>
      <c r="C17" s="40" t="s">
        <v>5</v>
      </c>
      <c r="D17" s="1">
        <v>138473</v>
      </c>
      <c r="E17" s="1">
        <v>138473</v>
      </c>
      <c r="F17" s="1">
        <f t="shared" si="0"/>
        <v>1</v>
      </c>
      <c r="G17" s="1">
        <f t="shared" ref="G17:G29" si="1">G16+F17</f>
        <v>45</v>
      </c>
      <c r="H17" s="42" t="s">
        <v>58</v>
      </c>
    </row>
    <row r="18" spans="1:10" x14ac:dyDescent="0.2">
      <c r="A18" s="3" t="s">
        <v>14</v>
      </c>
      <c r="B18" s="39">
        <v>9070010000000</v>
      </c>
      <c r="C18" s="40" t="s">
        <v>5</v>
      </c>
      <c r="D18" s="1">
        <v>138469</v>
      </c>
      <c r="E18" s="1">
        <v>138469</v>
      </c>
      <c r="F18" s="1">
        <f t="shared" si="0"/>
        <v>1</v>
      </c>
      <c r="G18" s="1">
        <f t="shared" si="1"/>
        <v>46</v>
      </c>
      <c r="H18" s="42" t="s">
        <v>58</v>
      </c>
    </row>
    <row r="19" spans="1:10" x14ac:dyDescent="0.2">
      <c r="A19" s="3" t="s">
        <v>14</v>
      </c>
      <c r="B19" s="39">
        <v>9070010000000</v>
      </c>
      <c r="C19" s="40" t="s">
        <v>5</v>
      </c>
      <c r="D19" s="1">
        <v>138456</v>
      </c>
      <c r="E19" s="1">
        <v>138456</v>
      </c>
      <c r="F19" s="1">
        <f t="shared" si="0"/>
        <v>1</v>
      </c>
      <c r="G19" s="1">
        <f t="shared" si="1"/>
        <v>47</v>
      </c>
      <c r="H19" s="42" t="s">
        <v>58</v>
      </c>
    </row>
    <row r="20" spans="1:10" x14ac:dyDescent="0.2">
      <c r="A20" s="3" t="s">
        <v>14</v>
      </c>
      <c r="B20" s="39">
        <v>9070010000000</v>
      </c>
      <c r="C20" s="40" t="s">
        <v>5</v>
      </c>
      <c r="D20" s="1">
        <v>138280</v>
      </c>
      <c r="E20" s="1">
        <v>138319</v>
      </c>
      <c r="F20" s="1">
        <f t="shared" si="0"/>
        <v>40</v>
      </c>
      <c r="G20" s="1">
        <f t="shared" si="1"/>
        <v>87</v>
      </c>
      <c r="H20" s="1" t="s">
        <v>59</v>
      </c>
    </row>
    <row r="21" spans="1:10" x14ac:dyDescent="0.2">
      <c r="A21" s="3" t="s">
        <v>14</v>
      </c>
      <c r="B21" s="39">
        <v>9070010000000</v>
      </c>
      <c r="C21" s="40" t="s">
        <v>5</v>
      </c>
      <c r="D21" s="1">
        <v>135399</v>
      </c>
      <c r="E21" s="1">
        <v>135438</v>
      </c>
      <c r="F21" s="1">
        <f t="shared" si="0"/>
        <v>40</v>
      </c>
      <c r="G21" s="1">
        <f t="shared" si="1"/>
        <v>127</v>
      </c>
      <c r="H21" s="1" t="s">
        <v>59</v>
      </c>
    </row>
    <row r="22" spans="1:10" x14ac:dyDescent="0.2">
      <c r="A22" s="3" t="s">
        <v>14</v>
      </c>
      <c r="B22" s="39">
        <v>9070010000000</v>
      </c>
      <c r="C22" s="40" t="s">
        <v>5</v>
      </c>
      <c r="D22" s="1">
        <v>138120</v>
      </c>
      <c r="E22" s="1">
        <v>138159</v>
      </c>
      <c r="F22" s="1">
        <f t="shared" si="0"/>
        <v>40</v>
      </c>
      <c r="G22" s="1">
        <f t="shared" si="1"/>
        <v>167</v>
      </c>
      <c r="H22" s="1" t="s">
        <v>59</v>
      </c>
    </row>
    <row r="23" spans="1:10" x14ac:dyDescent="0.2">
      <c r="A23" s="3" t="s">
        <v>14</v>
      </c>
      <c r="B23" s="39">
        <v>9070010000000</v>
      </c>
      <c r="C23" s="40" t="s">
        <v>5</v>
      </c>
      <c r="D23" s="1">
        <v>138200</v>
      </c>
      <c r="E23" s="1">
        <v>138239</v>
      </c>
      <c r="F23" s="1">
        <f t="shared" si="0"/>
        <v>40</v>
      </c>
      <c r="G23" s="1">
        <f t="shared" si="1"/>
        <v>207</v>
      </c>
      <c r="H23" s="1" t="s">
        <v>59</v>
      </c>
    </row>
    <row r="24" spans="1:10" x14ac:dyDescent="0.2">
      <c r="A24" s="3" t="s">
        <v>14</v>
      </c>
      <c r="B24" s="39">
        <v>9070010000000</v>
      </c>
      <c r="C24" s="40" t="s">
        <v>5</v>
      </c>
      <c r="D24" s="1">
        <v>135800</v>
      </c>
      <c r="E24" s="1">
        <v>135839</v>
      </c>
      <c r="F24" s="1">
        <f t="shared" si="0"/>
        <v>40</v>
      </c>
      <c r="G24" s="1">
        <f t="shared" si="1"/>
        <v>247</v>
      </c>
      <c r="H24" s="1" t="s">
        <v>59</v>
      </c>
    </row>
    <row r="25" spans="1:10" x14ac:dyDescent="0.2">
      <c r="A25" s="3" t="s">
        <v>14</v>
      </c>
      <c r="B25" s="39">
        <v>9070010000000</v>
      </c>
      <c r="C25" s="40" t="s">
        <v>5</v>
      </c>
      <c r="D25" s="1">
        <v>138360</v>
      </c>
      <c r="E25" s="1">
        <v>138399</v>
      </c>
      <c r="F25" s="1">
        <f t="shared" si="0"/>
        <v>40</v>
      </c>
      <c r="G25" s="1">
        <f t="shared" si="1"/>
        <v>287</v>
      </c>
      <c r="H25" s="1" t="s">
        <v>59</v>
      </c>
    </row>
    <row r="26" spans="1:10" x14ac:dyDescent="0.2">
      <c r="A26" s="3" t="s">
        <v>14</v>
      </c>
      <c r="B26" s="39">
        <v>9070010000000</v>
      </c>
      <c r="C26" s="40" t="s">
        <v>5</v>
      </c>
      <c r="D26" s="1">
        <v>135720</v>
      </c>
      <c r="E26" s="1">
        <v>135759</v>
      </c>
      <c r="F26" s="1">
        <f t="shared" si="0"/>
        <v>40</v>
      </c>
      <c r="G26" s="1">
        <f t="shared" si="1"/>
        <v>327</v>
      </c>
      <c r="H26" s="1" t="s">
        <v>59</v>
      </c>
    </row>
    <row r="27" spans="1:10" x14ac:dyDescent="0.2">
      <c r="A27" s="3" t="s">
        <v>14</v>
      </c>
      <c r="B27" s="39">
        <v>9070010000000</v>
      </c>
      <c r="C27" s="40" t="s">
        <v>5</v>
      </c>
      <c r="D27" s="1">
        <v>135760</v>
      </c>
      <c r="E27" s="1">
        <v>135799</v>
      </c>
      <c r="F27" s="1">
        <f t="shared" si="0"/>
        <v>40</v>
      </c>
      <c r="G27" s="1">
        <f t="shared" si="1"/>
        <v>367</v>
      </c>
      <c r="H27" s="1" t="s">
        <v>59</v>
      </c>
    </row>
    <row r="28" spans="1:10" x14ac:dyDescent="0.2">
      <c r="A28" s="3" t="s">
        <v>14</v>
      </c>
      <c r="B28" s="39">
        <v>9070010000000</v>
      </c>
      <c r="C28" s="40" t="s">
        <v>5</v>
      </c>
      <c r="D28" s="1">
        <v>138240</v>
      </c>
      <c r="E28" s="1">
        <v>138279</v>
      </c>
      <c r="F28" s="1">
        <f t="shared" si="0"/>
        <v>40</v>
      </c>
      <c r="G28" s="1">
        <f t="shared" si="1"/>
        <v>407</v>
      </c>
      <c r="H28" s="1" t="s">
        <v>59</v>
      </c>
    </row>
    <row r="29" spans="1:10" x14ac:dyDescent="0.2">
      <c r="A29" s="3" t="s">
        <v>14</v>
      </c>
      <c r="B29" s="39">
        <v>9070010000000</v>
      </c>
      <c r="C29" s="40" t="s">
        <v>5</v>
      </c>
      <c r="D29" s="1">
        <v>138320</v>
      </c>
      <c r="E29" s="1">
        <v>138359</v>
      </c>
      <c r="F29" s="1">
        <f t="shared" si="0"/>
        <v>40</v>
      </c>
      <c r="G29" s="1">
        <f t="shared" si="1"/>
        <v>447</v>
      </c>
      <c r="H29" s="1" t="s">
        <v>59</v>
      </c>
      <c r="I29" s="23">
        <f>G29-I14</f>
        <v>0</v>
      </c>
      <c r="J29" t="s">
        <v>51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ABC - 03071600</vt:lpstr>
      <vt:lpstr>CO2 - 03071603</vt:lpstr>
      <vt:lpstr>Water - 03071604</vt:lpstr>
      <vt:lpstr>Halotron - 03071605</vt:lpstr>
      <vt:lpstr>TUV Brx - 03071601</vt:lpstr>
      <vt:lpstr>TUV WM - 03071602</vt:lpstr>
      <vt:lpstr>TUV Lithium - 03071606</vt:lpstr>
      <vt:lpstr>HR - 03071700</vt:lpstr>
      <vt:lpstr>FH - 0307200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Aung Zaw Min</dc:creator>
  <cp:lastModifiedBy>Alitec office1</cp:lastModifiedBy>
  <cp:lastPrinted>2025-10-31T03:20:34Z</cp:lastPrinted>
  <dcterms:created xsi:type="dcterms:W3CDTF">2025-10-25T03:25:58Z</dcterms:created>
  <dcterms:modified xsi:type="dcterms:W3CDTF">2026-01-02T06:19:05Z</dcterms:modified>
</cp:coreProperties>
</file>