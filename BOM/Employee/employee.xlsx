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Bom/BOM/Employee/"/>
    </mc:Choice>
  </mc:AlternateContent>
  <xr:revisionPtr revIDLastSave="0" documentId="13_ncr:1_{CB993913-C086-7D42-9D54-90C44CC5ED20}" xr6:coauthVersionLast="47" xr6:coauthVersionMax="47" xr10:uidLastSave="{00000000-0000-0000-0000-000000000000}"/>
  <bookViews>
    <workbookView xWindow="0" yWindow="780" windowWidth="29400" windowHeight="19120" activeTab="4" xr2:uid="{00000000-000D-0000-FFFF-FFFF00000000}"/>
  </bookViews>
  <sheets>
    <sheet name="LJE " sheetId="16" r:id="rId1"/>
    <sheet name="LJ Fire" sheetId="5" r:id="rId2"/>
    <sheet name="LJD" sheetId="6" r:id="rId3"/>
    <sheet name="LJDT" sheetId="4" r:id="rId4"/>
    <sheet name="LJ Property" sheetId="7" r:id="rId5"/>
    <sheet name="LJ GreenTech" sheetId="11" r:id="rId6"/>
    <sheet name="LJ Malaysia" sheetId="10" r:id="rId7"/>
    <sheet name="PT Lingjack" sheetId="9" r:id="rId8"/>
    <sheet name="lookup" sheetId="17" r:id="rId9"/>
  </sheets>
  <definedNames>
    <definedName name="_xlnm._FilterDatabase" localSheetId="0" hidden="1">'LJE '!$A$1:$AJ$103</definedName>
    <definedName name="_xlnm._FilterDatabase" localSheetId="8" hidden="1">lookup!$A$1:$B$1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1" l="1"/>
  <c r="AG2" i="7"/>
  <c r="AG14" i="4"/>
  <c r="AG4" i="6"/>
  <c r="AG4" i="5"/>
  <c r="AG95" i="16"/>
  <c r="AG94" i="16"/>
  <c r="AG93" i="16"/>
  <c r="AG92" i="16"/>
  <c r="AG2" i="6"/>
  <c r="AG3" i="6"/>
  <c r="AG3" i="5"/>
  <c r="AG2" i="5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2" i="16"/>
</calcChain>
</file>

<file path=xl/sharedStrings.xml><?xml version="1.0" encoding="utf-8"?>
<sst xmlns="http://schemas.openxmlformats.org/spreadsheetml/2006/main" count="3258" uniqueCount="994">
  <si>
    <t>Employee Name</t>
  </si>
  <si>
    <t>Employee Type</t>
  </si>
  <si>
    <t>Department</t>
  </si>
  <si>
    <t>Job Position</t>
  </si>
  <si>
    <t>Manager</t>
  </si>
  <si>
    <t>Work Email</t>
  </si>
  <si>
    <t>Work Phone</t>
  </si>
  <si>
    <t>Private Email</t>
  </si>
  <si>
    <t>Private Phone</t>
  </si>
  <si>
    <t>Private Street</t>
  </si>
  <si>
    <t>Private Street2</t>
  </si>
  <si>
    <t>Private Zip</t>
  </si>
  <si>
    <t>Private Country</t>
  </si>
  <si>
    <t>Bank Account/Account Number</t>
  </si>
  <si>
    <t>Bank Account/Bank</t>
  </si>
  <si>
    <t>Bank Account/Currency</t>
  </si>
  <si>
    <t>Private Car Plate</t>
  </si>
  <si>
    <t>Nationality (Country)</t>
  </si>
  <si>
    <t>Identification No</t>
  </si>
  <si>
    <t>SSN No</t>
  </si>
  <si>
    <t>Passport No</t>
  </si>
  <si>
    <t>Gender</t>
  </si>
  <si>
    <t>Date of Birth</t>
  </si>
  <si>
    <t>Place of Birth</t>
  </si>
  <si>
    <t>Country of Birth</t>
  </si>
  <si>
    <t>Field of Study</t>
  </si>
  <si>
    <t>Visa No</t>
  </si>
  <si>
    <t>Visa Expiration Date</t>
  </si>
  <si>
    <t>Work Permit No</t>
  </si>
  <si>
    <t>Work Permit Expiration Date</t>
  </si>
  <si>
    <t>Marital Status</t>
  </si>
  <si>
    <t>Number of Dependent Children</t>
  </si>
  <si>
    <t>Hourly Cost</t>
  </si>
  <si>
    <t>Badge ID</t>
  </si>
  <si>
    <t>Contact Name</t>
  </si>
  <si>
    <t>Contact Phone</t>
  </si>
  <si>
    <t>ABDULLAH HADI BIN HAZIUL KEFLI</t>
  </si>
  <si>
    <t>Employee</t>
  </si>
  <si>
    <t>SALES SERVICE</t>
  </si>
  <si>
    <t>TECHNICAL WORKER II</t>
  </si>
  <si>
    <t>1 WOODLANDS TERRACE</t>
  </si>
  <si>
    <t>Singapore</t>
  </si>
  <si>
    <t>Malaysia</t>
  </si>
  <si>
    <t>Male</t>
  </si>
  <si>
    <t>0477</t>
  </si>
  <si>
    <t>AFRYJAMALDY BIN BAHTIAR</t>
  </si>
  <si>
    <t>SR TECH WORKER III</t>
  </si>
  <si>
    <t>0265</t>
  </si>
  <si>
    <t>SALES OVERSEA</t>
  </si>
  <si>
    <t>SALES &amp; BUSINESS DEVELOPMENT MANAGER</t>
  </si>
  <si>
    <t>lilibeth@lingjack.com</t>
  </si>
  <si>
    <t>Female</t>
  </si>
  <si>
    <t>0480</t>
  </si>
  <si>
    <t>ALAM MD TOUHID</t>
  </si>
  <si>
    <t>CS</t>
  </si>
  <si>
    <t>DRIVER III</t>
  </si>
  <si>
    <t>0456</t>
  </si>
  <si>
    <t>ARKAR KYAW</t>
  </si>
  <si>
    <t>LJ DT</t>
  </si>
  <si>
    <t>RIGGER/CABLE SPLICER</t>
  </si>
  <si>
    <t>Myanmar</t>
  </si>
  <si>
    <t>0482</t>
  </si>
  <si>
    <t>AUNG THIHA SOE</t>
  </si>
  <si>
    <t>TECHNICIAN I</t>
  </si>
  <si>
    <t>jamesaung@lingjack.com</t>
  </si>
  <si>
    <t>BLK 511 Woodlands Dr 14 #01-57</t>
  </si>
  <si>
    <t>0 95036309</t>
  </si>
  <si>
    <t>0398</t>
  </si>
  <si>
    <t>QAQC</t>
  </si>
  <si>
    <t>ASST ENGINEER</t>
  </si>
  <si>
    <t>alexkoh@lingjack.com</t>
  </si>
  <si>
    <t>BLK 424D YISHUN AVE 11 #08-316</t>
  </si>
  <si>
    <t>0047</t>
  </si>
  <si>
    <t>Vincent Koh</t>
  </si>
  <si>
    <t>98517388</t>
  </si>
  <si>
    <t>PROCUREMENT</t>
  </si>
  <si>
    <t>PURCHASING ASSISTANT</t>
  </si>
  <si>
    <t>ashleytan@lingjack.com</t>
  </si>
  <si>
    <t>BLK 717 WOODLANDS DR 70 #03-16</t>
  </si>
  <si>
    <t>4 06962113</t>
  </si>
  <si>
    <t>0423</t>
  </si>
  <si>
    <t xml:space="preserve">PRODUCTION </t>
  </si>
  <si>
    <t>PLANT MANAGER</t>
  </si>
  <si>
    <t>aungzawmin@lingjack.com</t>
  </si>
  <si>
    <t>BLK 448 JURONG WEST ST 42 #06-240</t>
  </si>
  <si>
    <t>0 92281620</t>
  </si>
  <si>
    <t>0468</t>
  </si>
  <si>
    <t>NGU WAR MYINT</t>
  </si>
  <si>
    <t>96187552</t>
  </si>
  <si>
    <t>CHAN KOK CHOONG</t>
  </si>
  <si>
    <t>LJ FIRE</t>
  </si>
  <si>
    <t>EXECUTIVE DIRECTOR</t>
  </si>
  <si>
    <t>samchan@lingjack.com</t>
  </si>
  <si>
    <t>0009</t>
  </si>
  <si>
    <t>CHEN QIJIANG</t>
  </si>
  <si>
    <t>PRODUCTION SPECIALIST II</t>
  </si>
  <si>
    <t>0204</t>
  </si>
  <si>
    <t>CS EXEC III</t>
  </si>
  <si>
    <t>yiminchin@lingjack.com</t>
  </si>
  <si>
    <t>APT BLK 782D WOODLANDS CRESCENT #15-345</t>
  </si>
  <si>
    <t>0500</t>
  </si>
  <si>
    <t>PURCHASING EXECUTIVE III</t>
  </si>
  <si>
    <t>carolwoon@lingjack.com</t>
  </si>
  <si>
    <t>BLK 337 SEMBAWANG CRESCENT #08-178</t>
  </si>
  <si>
    <t>0313</t>
  </si>
  <si>
    <t>VIVIEN WOON KERK HEONG</t>
  </si>
  <si>
    <t>91691158</t>
  </si>
  <si>
    <t>DENG FANDONG</t>
  </si>
  <si>
    <t>LATHE SETTER-OPERATOR</t>
  </si>
  <si>
    <t>0465</t>
  </si>
  <si>
    <t>DILESHNAIR CHANDRAN</t>
  </si>
  <si>
    <t>PRODUCTION WORKER I</t>
  </si>
  <si>
    <t>0023</t>
  </si>
  <si>
    <t>PURCHASING MGR</t>
  </si>
  <si>
    <t>dorisgoh@lingjack.com</t>
  </si>
  <si>
    <t>BLK 504B MONTREAL DR #10-38</t>
  </si>
  <si>
    <t>0033</t>
  </si>
  <si>
    <t>William Goh</t>
  </si>
  <si>
    <t>98430858</t>
  </si>
  <si>
    <t>SNR MANAGER, ADVANCED TECHNOLOGY DIVISION</t>
  </si>
  <si>
    <t>hweelin.er@lingjack.com</t>
  </si>
  <si>
    <t>6 JAALN DERUM</t>
  </si>
  <si>
    <t>0319</t>
  </si>
  <si>
    <t>SALES LOCAL</t>
  </si>
  <si>
    <t>SALES EXECUTIVE II</t>
  </si>
  <si>
    <t>emilypay@lingjack.com</t>
  </si>
  <si>
    <t>0459</t>
  </si>
  <si>
    <t>ACCOUNTS</t>
  </si>
  <si>
    <t>ACCOUNTS ASS I</t>
  </si>
  <si>
    <t>erintan@lingjack.com</t>
  </si>
  <si>
    <t>BLK 626 WOODLANDS AVE 6 #08-878</t>
  </si>
  <si>
    <t>0450</t>
  </si>
  <si>
    <t>ADMIN HR</t>
  </si>
  <si>
    <t>HR MANAGER</t>
  </si>
  <si>
    <t>esther@lingjack.com</t>
  </si>
  <si>
    <t>29 LI HWAN CLOSE</t>
  </si>
  <si>
    <t>0010</t>
  </si>
  <si>
    <t>FENG ZHANPENG</t>
  </si>
  <si>
    <t>0403</t>
  </si>
  <si>
    <t>GANESAN A/L K SUPRAMANIAM</t>
  </si>
  <si>
    <t>LJD</t>
  </si>
  <si>
    <t>CLEANER</t>
  </si>
  <si>
    <t>LIEW CHEN KIANG</t>
  </si>
  <si>
    <t>0338</t>
  </si>
  <si>
    <t>HARDWARE ENGINEER</t>
  </si>
  <si>
    <t>GU MINGHUI</t>
  </si>
  <si>
    <t>PRODUCTION SPECIALIST III</t>
  </si>
  <si>
    <t>0203</t>
  </si>
  <si>
    <t>HAFIZ AMINULLAH BIN AB HALIM</t>
  </si>
  <si>
    <t>LOGISTIC</t>
  </si>
  <si>
    <t>STORE KEEPER II</t>
  </si>
  <si>
    <t>0034</t>
  </si>
  <si>
    <t>PRODUCTION WORKER III</t>
  </si>
  <si>
    <t>HASAN MAHEDI</t>
  </si>
  <si>
    <t>TECHNICAL WORKER I</t>
  </si>
  <si>
    <t>0457</t>
  </si>
  <si>
    <t>SALES MANAGER</t>
  </si>
  <si>
    <t>meilinghew@lingjack.com</t>
  </si>
  <si>
    <t>0036</t>
  </si>
  <si>
    <t>Hew Kim Chen</t>
  </si>
  <si>
    <t>+6014 2222988</t>
  </si>
  <si>
    <t>SALES &amp; BUSINESS DEVELOPMENT ENGINEER</t>
  </si>
  <si>
    <t>htanlankhaing@lingjack.com</t>
  </si>
  <si>
    <t>0285</t>
  </si>
  <si>
    <t>FINANCE DIRECTOR</t>
  </si>
  <si>
    <t>hueyling@lingjack.com</t>
  </si>
  <si>
    <t>BLK 42 CANBERRA DR #03-07</t>
  </si>
  <si>
    <t>0113</t>
  </si>
  <si>
    <t>ISLAM SHAFIQUL</t>
  </si>
  <si>
    <t>skshafiqul855@gmail.com</t>
  </si>
  <si>
    <t>0478</t>
  </si>
  <si>
    <t>MANAGER</t>
  </si>
  <si>
    <t>ivy@lingjack.com</t>
  </si>
  <si>
    <t>BLK 237 YISHUN RING RD #03-1024</t>
  </si>
  <si>
    <t>0055</t>
  </si>
  <si>
    <t>GOH CHEE LOON</t>
  </si>
  <si>
    <t>94781983</t>
  </si>
  <si>
    <t>JOTHI SIVAGURUNATHAN</t>
  </si>
  <si>
    <t>0481</t>
  </si>
  <si>
    <t>SOFTWARE ENGINEER</t>
  </si>
  <si>
    <t>jaypee@lingjack.com</t>
  </si>
  <si>
    <t>BLK 153A LOR 1 TOA PAYOH #07-1161</t>
  </si>
  <si>
    <t>0 28303785</t>
  </si>
  <si>
    <t>0386</t>
  </si>
  <si>
    <t>SNR CS MANAGER</t>
  </si>
  <si>
    <t>juliequah@lingjack.com</t>
  </si>
  <si>
    <t>11 FERNVALE CLOSE #17-03</t>
  </si>
  <si>
    <t>0094</t>
  </si>
  <si>
    <t>SNR HR EXECUTIVE</t>
  </si>
  <si>
    <t>beechingkang@lingjack.com</t>
  </si>
  <si>
    <t>BLK 552 CHOA CHU KANG ST 52 #02-43</t>
  </si>
  <si>
    <t>0043</t>
  </si>
  <si>
    <t>Law Han Soon</t>
  </si>
  <si>
    <t>97771385</t>
  </si>
  <si>
    <t>KOELAMBA KRISHNAN</t>
  </si>
  <si>
    <t>SECTION LEADER</t>
  </si>
  <si>
    <t>BLK 401 WOODLANDS ST 41 #03-26</t>
  </si>
  <si>
    <t>0046</t>
  </si>
  <si>
    <t>SR MGR</t>
  </si>
  <si>
    <t>kenyap@lingjack.com</t>
  </si>
  <si>
    <t>BLK 17A CIRCUIT RD #15-202</t>
  </si>
  <si>
    <t>0123</t>
  </si>
  <si>
    <t>IT ENGINEER</t>
  </si>
  <si>
    <t>kendrick@lingjack.com</t>
  </si>
  <si>
    <t>BLK 362B SEMBAWANG CRESCENT #10-823</t>
  </si>
  <si>
    <t>0 28481810</t>
  </si>
  <si>
    <t>0441</t>
  </si>
  <si>
    <t>COSCA ANGELITA JAVIER</t>
  </si>
  <si>
    <t>+639178582982</t>
  </si>
  <si>
    <t>MGT</t>
  </si>
  <si>
    <t>MANAGING DIRECTOR</t>
  </si>
  <si>
    <t>kenneth@lingjack.com</t>
  </si>
  <si>
    <t>56 JLN KEMUNING</t>
  </si>
  <si>
    <t>0063</t>
  </si>
  <si>
    <t>Lim Swee Fong</t>
  </si>
  <si>
    <t>96173941</t>
  </si>
  <si>
    <t>SALES SUPPORT COORDINATOR</t>
  </si>
  <si>
    <t>yenmaylee@lingjack.com</t>
  </si>
  <si>
    <t>0454</t>
  </si>
  <si>
    <t>LIAU WEI KAI</t>
  </si>
  <si>
    <t>shaunliau@lingjack.com</t>
  </si>
  <si>
    <t>BLK 55 GEYLANG BAHRU #12-3611</t>
  </si>
  <si>
    <t>0348</t>
  </si>
  <si>
    <t>ENGINEERING</t>
  </si>
  <si>
    <t>ENGINEER</t>
  </si>
  <si>
    <t>zhuyikliaw@lingjack.com</t>
  </si>
  <si>
    <t>BLK 214 LOR 8 TOA PAYOH #17-733</t>
  </si>
  <si>
    <t>0209</t>
  </si>
  <si>
    <t>SR MGR, PDT DEV'T</t>
  </si>
  <si>
    <t>adrianliew@lingjack.com</t>
  </si>
  <si>
    <t>BLK 123 MCNAIR RD #13-17</t>
  </si>
  <si>
    <t>0189</t>
  </si>
  <si>
    <t>PURCHASING DIRECTOR</t>
  </si>
  <si>
    <t>hongmeng@lingjack.com</t>
  </si>
  <si>
    <t>6 JALAN DERUM</t>
  </si>
  <si>
    <t>0060</t>
  </si>
  <si>
    <t>Er Hwee Lin</t>
  </si>
  <si>
    <t>96930361</t>
  </si>
  <si>
    <t>meiqilim@lingjack.com</t>
  </si>
  <si>
    <t>0451</t>
  </si>
  <si>
    <t>LIM SUEI KIAT</t>
  </si>
  <si>
    <t>27 JLN LEGUNDI</t>
  </si>
  <si>
    <t>0069</t>
  </si>
  <si>
    <t>LIN WUZHU</t>
  </si>
  <si>
    <t>PRODUCTION SPECIALIST I</t>
  </si>
  <si>
    <t>0072</t>
  </si>
  <si>
    <t>LIU JIAN</t>
  </si>
  <si>
    <t>0073</t>
  </si>
  <si>
    <t>LO WAI HUNG</t>
  </si>
  <si>
    <t>0077</t>
  </si>
  <si>
    <t>ASST SUPERVISOR</t>
  </si>
  <si>
    <t>waihoulo@lingjack.com</t>
  </si>
  <si>
    <t>BLK 121 PAYA LEBAR WAY #02-2829</t>
  </si>
  <si>
    <t>0076</t>
  </si>
  <si>
    <t>PLANT DIRECTOR</t>
  </si>
  <si>
    <t>lawrencelim@lingjack.com</t>
  </si>
  <si>
    <t>2D JALAN KEMUNING</t>
  </si>
  <si>
    <t>0064</t>
  </si>
  <si>
    <t>SALES EXECUTIVE, REGIONAL</t>
  </si>
  <si>
    <t>leroysoh@lingjack.com</t>
  </si>
  <si>
    <t>BLK 102 BUKIT PURMEI RD #03-66</t>
  </si>
  <si>
    <t>0502</t>
  </si>
  <si>
    <t>SR ENGINEERING MGR</t>
  </si>
  <si>
    <t>lucas@lingjack.com</t>
  </si>
  <si>
    <t>BLK 658 WOODLANDS RING RD #08-120</t>
  </si>
  <si>
    <t>0030</t>
  </si>
  <si>
    <t>MD REPON</t>
  </si>
  <si>
    <t>MAINTENANCE &amp; RENO CONTRACTING</t>
  </si>
  <si>
    <t>CONSTRUCTION WORKER</t>
  </si>
  <si>
    <t>0509</t>
  </si>
  <si>
    <t>MOHAMAD RIDZUAN BIN MISBAH</t>
  </si>
  <si>
    <t>TECHNICAL WORKER  III</t>
  </si>
  <si>
    <t>0473</t>
  </si>
  <si>
    <t>MOHD RAZIF BIN MHD RUBIAH</t>
  </si>
  <si>
    <t>0084</t>
  </si>
  <si>
    <t>MORGAN CHENGODAN</t>
  </si>
  <si>
    <t>0085</t>
  </si>
  <si>
    <t>MUHAMMAD HAKIMI BIN ROHANI</t>
  </si>
  <si>
    <t>0467</t>
  </si>
  <si>
    <t>MUHAMMAD HANIF BIN ROHANI</t>
  </si>
  <si>
    <t>0346</t>
  </si>
  <si>
    <t>MUHAMMAD HAZIQ BIN ROHANI</t>
  </si>
  <si>
    <t>STORE ASST II</t>
  </si>
  <si>
    <t>haziqbatupahat@gmail.com</t>
  </si>
  <si>
    <t>0345</t>
  </si>
  <si>
    <t>MUHAMMAD ZUKRI BIN MUSTAFA</t>
  </si>
  <si>
    <t>0479</t>
  </si>
  <si>
    <t>SR SALES EXECUTIVE</t>
  </si>
  <si>
    <t>maria@lingjack.com</t>
  </si>
  <si>
    <t>BLK 503 BT BATOK ST 52 #07-161</t>
  </si>
  <si>
    <t>Indonesia</t>
  </si>
  <si>
    <t>0 0836625-</t>
  </si>
  <si>
    <t>0430</t>
  </si>
  <si>
    <t>SALES DIRECTOR</t>
  </si>
  <si>
    <t>mayow@lingjack.com</t>
  </si>
  <si>
    <t>BLK 762 WOODLANDS AVE 6 #02-78</t>
  </si>
  <si>
    <t>0089</t>
  </si>
  <si>
    <t>LOOI EN QI</t>
  </si>
  <si>
    <t>84880625</t>
  </si>
  <si>
    <t>NATARAJAN ARAVINDHAN</t>
  </si>
  <si>
    <t>0444</t>
  </si>
  <si>
    <t>NG RANGER</t>
  </si>
  <si>
    <t>PRODUCTION WORKER II</t>
  </si>
  <si>
    <t>BLK 645 WOODLANDS RING RD #02-10</t>
  </si>
  <si>
    <t>0419</t>
  </si>
  <si>
    <t>NG SIONG WOOI</t>
  </si>
  <si>
    <t>BLK 214 BISHAN ST 23 #09-217</t>
  </si>
  <si>
    <t>0086</t>
  </si>
  <si>
    <t>weichuanngin@lingjack.com</t>
  </si>
  <si>
    <t>BLK 325 SEMBAWANG CRESCENT #04-62</t>
  </si>
  <si>
    <t>0308</t>
  </si>
  <si>
    <t>NURAIN BIN SELAMAT</t>
  </si>
  <si>
    <t>0494</t>
  </si>
  <si>
    <t>OH KHIAN THO</t>
  </si>
  <si>
    <t>BLK 117 YISHUN RING RD #05-599</t>
  </si>
  <si>
    <t>0088</t>
  </si>
  <si>
    <t>PHUNG SUNG WANG STANLEY</t>
  </si>
  <si>
    <t>stanleyphung@lingjack.com</t>
  </si>
  <si>
    <t>BLK 209 TAMPINES ST 21 #03-1325</t>
  </si>
  <si>
    <t>0092</t>
  </si>
  <si>
    <t>CS EXEC II</t>
  </si>
  <si>
    <t>huijianpoon@lingjack.com</t>
  </si>
  <si>
    <t>BLK 782D WOODLANDS CRESCENT #15-345</t>
  </si>
  <si>
    <t>0415</t>
  </si>
  <si>
    <t>RENGASAMY SARAVANAN</t>
  </si>
  <si>
    <t>0413</t>
  </si>
  <si>
    <t>RETUTAR RYAN JAY CENAL</t>
  </si>
  <si>
    <t>0497</t>
  </si>
  <si>
    <t>racheltan@lingjack.com</t>
  </si>
  <si>
    <t>BLK 2 MARSILING DR #08-31</t>
  </si>
  <si>
    <t>0110</t>
  </si>
  <si>
    <t>SHARIF MD OSMAN</t>
  </si>
  <si>
    <t>0446</t>
  </si>
  <si>
    <t>SIVAKUMAR VASUDEVAN</t>
  </si>
  <si>
    <t>0103</t>
  </si>
  <si>
    <t>SOO KAH FAI CHRIS</t>
  </si>
  <si>
    <t>chrissoo@lingjack.com</t>
  </si>
  <si>
    <t>BLK 559 HOUGANG ST 51 #12-396</t>
  </si>
  <si>
    <t>0232</t>
  </si>
  <si>
    <t>SR CS EXEC</t>
  </si>
  <si>
    <t>sharonkwa@lingjack.com</t>
  </si>
  <si>
    <t>BLK 218 YISHUN ST 21 #11-353</t>
  </si>
  <si>
    <t>0364</t>
  </si>
  <si>
    <t>sophietai@lingjack.com</t>
  </si>
  <si>
    <t>BLK 693A WOODLANDS AVE 6 #06-707</t>
  </si>
  <si>
    <t>0105</t>
  </si>
  <si>
    <t>CLERK</t>
  </si>
  <si>
    <t>acct08@lingjack.com</t>
  </si>
  <si>
    <t>BLK 406 WOODLANDS ST 41 #07-10</t>
  </si>
  <si>
    <t>0432</t>
  </si>
  <si>
    <t>sureshkumar@lingjack.com</t>
  </si>
  <si>
    <t>BLK 722 WOODLANDS AVE 6 #10-540</t>
  </si>
  <si>
    <t>0 32887848</t>
  </si>
  <si>
    <t>0080</t>
  </si>
  <si>
    <t>S.A.KANNAGI</t>
  </si>
  <si>
    <t>TAM CHIOU WAH</t>
  </si>
  <si>
    <t>0440</t>
  </si>
  <si>
    <t>khemhiok@lingjack.com</t>
  </si>
  <si>
    <t>5 15532897</t>
  </si>
  <si>
    <t>0106</t>
  </si>
  <si>
    <t>TECHNICAL DIRECTOR</t>
  </si>
  <si>
    <t>tauyap@lingjack.com</t>
  </si>
  <si>
    <t>BLK 627 CHOA CHU KANG ST 62 #07-150</t>
  </si>
  <si>
    <t>0109</t>
  </si>
  <si>
    <t>TAN WEI TECK</t>
  </si>
  <si>
    <t>0145</t>
  </si>
  <si>
    <t>THANGARAJ BALAMURUGAN</t>
  </si>
  <si>
    <t>WELDER AND FLAME CUTTER</t>
  </si>
  <si>
    <t>Blk 660 Woodlands Ring Road #12-136</t>
  </si>
  <si>
    <t>0 38689274</t>
  </si>
  <si>
    <t>0409</t>
  </si>
  <si>
    <t>THANGARAJ SUDHAHAR</t>
  </si>
  <si>
    <t>SHEET METAL WORKER</t>
  </si>
  <si>
    <t>BLK 660 WOODLANDS RING RD #12-136</t>
  </si>
  <si>
    <t>0475</t>
  </si>
  <si>
    <t>TOE NAING PHONE ZAW</t>
  </si>
  <si>
    <t>toenaing@lingjack.com</t>
  </si>
  <si>
    <t>BLK 786E WOODLANDS DRIVE 60 #07-13</t>
  </si>
  <si>
    <t>0 94623820</t>
  </si>
  <si>
    <t>0460</t>
  </si>
  <si>
    <t>TOH SING HANG</t>
  </si>
  <si>
    <t>0116</t>
  </si>
  <si>
    <t>tang@lingjack.com</t>
  </si>
  <si>
    <t>0 95317286</t>
  </si>
  <si>
    <t>0428</t>
  </si>
  <si>
    <t>kumar@lingjack.com</t>
  </si>
  <si>
    <t>0117</t>
  </si>
  <si>
    <t>HR ASSISTANT</t>
  </si>
  <si>
    <t>hr-admin@lingjack.com</t>
  </si>
  <si>
    <t>BLK 689C WOODLANDS DR 75 #06-112</t>
  </si>
  <si>
    <t>0435</t>
  </si>
  <si>
    <t>WONG KAR FUI</t>
  </si>
  <si>
    <t>0147</t>
  </si>
  <si>
    <t>ASST MGR</t>
  </si>
  <si>
    <t>winnie@lingjack.com</t>
  </si>
  <si>
    <t>BLK 320 YISHUN CENTRAL #08-331</t>
  </si>
  <si>
    <t>0124</t>
  </si>
  <si>
    <t>SNR CS EXECUTIVE</t>
  </si>
  <si>
    <t>peiyunyang@lingjack.com</t>
  </si>
  <si>
    <t>BLK 341 BT BATOK ST 34 #09-56</t>
  </si>
  <si>
    <t>0214</t>
  </si>
  <si>
    <t>ACCOUNTS EXEC III</t>
  </si>
  <si>
    <t>yannyichai@lingjack.com</t>
  </si>
  <si>
    <t>BLK 694D WOODLANDS DR #12-90</t>
  </si>
  <si>
    <t>0369</t>
  </si>
  <si>
    <t>CHANG SOON YEP</t>
  </si>
  <si>
    <t>98737225</t>
  </si>
  <si>
    <t>ZHAO JIANGBO</t>
  </si>
  <si>
    <t>0372</t>
  </si>
  <si>
    <t>ZHENG ZUFANG</t>
  </si>
  <si>
    <t>0129</t>
  </si>
  <si>
    <t>ZHUANG JIANFA</t>
  </si>
  <si>
    <t>0373</t>
  </si>
  <si>
    <t>ANIS EDDYFAZWAN BIN ABD SALIM</t>
  </si>
  <si>
    <t>PRODUCTION DEPT</t>
  </si>
  <si>
    <t>ENGINEERING MANAGER</t>
  </si>
  <si>
    <t>NG SENG CHUAN</t>
  </si>
  <si>
    <t>ljm-engrg01@lingjack.com</t>
  </si>
  <si>
    <t>016 8253321</t>
  </si>
  <si>
    <t>ANIS NABILAH BINTI MOHD NOOR</t>
  </si>
  <si>
    <t>QUALITY CONTROL</t>
  </si>
  <si>
    <t>AUNG ZAW LIN</t>
  </si>
  <si>
    <t>ASSEMBLE</t>
  </si>
  <si>
    <t>AYE LWIN</t>
  </si>
  <si>
    <t>'011 61394054</t>
  </si>
  <si>
    <t>' 011 61393917</t>
  </si>
  <si>
    <t>AYE MIN TUN</t>
  </si>
  <si>
    <t>SAND MIXING</t>
  </si>
  <si>
    <t>NULL</t>
  </si>
  <si>
    <t>AYE ZAW</t>
  </si>
  <si>
    <t>OPERATOR MACHINE</t>
  </si>
  <si>
    <t>LEE YIK SENG</t>
  </si>
  <si>
    <t>011-27489213</t>
  </si>
  <si>
    <t>CHAN SIEW PENG</t>
  </si>
  <si>
    <t>ADMIN DEPT</t>
  </si>
  <si>
    <t>FOLONIA BINTI KAPITAN</t>
  </si>
  <si>
    <t>PURCHASING EXECUTIVE</t>
  </si>
  <si>
    <t>ljm-admin01@lingjack.com</t>
  </si>
  <si>
    <t>011 31539523</t>
  </si>
  <si>
    <t>HAN HTAY WIN</t>
  </si>
  <si>
    <t>'011 61712488</t>
  </si>
  <si>
    <t>KANG BEE CHING</t>
  </si>
  <si>
    <t>KHIN MAUNG HTOO</t>
  </si>
  <si>
    <t>MELTER</t>
  </si>
  <si>
    <t>MANIT SENNOK</t>
  </si>
  <si>
    <t>'011 61394037</t>
  </si>
  <si>
    <t>KYAW AUNG</t>
  </si>
  <si>
    <t>'011 61393957</t>
  </si>
  <si>
    <t>KYAW ZIN SOE</t>
  </si>
  <si>
    <t>'011 61394012</t>
  </si>
  <si>
    <t>PRODUCTION SUPERVISOR</t>
  </si>
  <si>
    <t>014 6185891</t>
  </si>
  <si>
    <t>LIM KOK KHENG (LIN GUOQING)</t>
  </si>
  <si>
    <t>006 596173941</t>
  </si>
  <si>
    <t>LIM KOK MENG (LIN GEMING)</t>
  </si>
  <si>
    <t>0065 97390092</t>
  </si>
  <si>
    <t>0065 96339400</t>
  </si>
  <si>
    <t>MAUNG SAN</t>
  </si>
  <si>
    <t>MAY ZUN THU</t>
  </si>
  <si>
    <t>011 69863727</t>
  </si>
  <si>
    <t>MIN MIN AUNG</t>
  </si>
  <si>
    <t>MOLDER</t>
  </si>
  <si>
    <t>011 37474731</t>
  </si>
  <si>
    <t>MYO AUNG</t>
  </si>
  <si>
    <t>018 3945308</t>
  </si>
  <si>
    <t>MYO MIN HTET</t>
  </si>
  <si>
    <t>018 7812948</t>
  </si>
  <si>
    <t>NAING LIN</t>
  </si>
  <si>
    <t>STORE DEPT</t>
  </si>
  <si>
    <t>STORE ASSISTANT</t>
  </si>
  <si>
    <t>011 28985604</t>
  </si>
  <si>
    <t>FACTORY MANAGER</t>
  </si>
  <si>
    <t>ng@lingjack.com</t>
  </si>
  <si>
    <t>012 7877738</t>
  </si>
  <si>
    <t>NG SIU HOON</t>
  </si>
  <si>
    <t>GENERAL CLERK</t>
  </si>
  <si>
    <t>NORIDAH BINTI MASWAN</t>
  </si>
  <si>
    <t>ADMIN EXECUTIVE</t>
  </si>
  <si>
    <t>noridah@lingjack.com</t>
  </si>
  <si>
    <t>017 7435878</t>
  </si>
  <si>
    <t>NURUL AISYAH BINTI ABDUL RAHIM</t>
  </si>
  <si>
    <t>ASSISTANT PURCHASING EXE</t>
  </si>
  <si>
    <t>ljm-admin02lingjack.com</t>
  </si>
  <si>
    <t>017 7863896</t>
  </si>
  <si>
    <t>SAN WIN NAING</t>
  </si>
  <si>
    <t>'011 60544762</t>
  </si>
  <si>
    <t>SANTHIA A/P MANOGARAN</t>
  </si>
  <si>
    <t>STORE SUPERVISOR</t>
  </si>
  <si>
    <t>ljm-store01@lingjack.com</t>
  </si>
  <si>
    <t>016 7038223</t>
  </si>
  <si>
    <t>SEIN KYAW HTAY</t>
  </si>
  <si>
    <t>011-27489037</t>
  </si>
  <si>
    <t>SOE MIN NAING</t>
  </si>
  <si>
    <t>'011 39839864</t>
  </si>
  <si>
    <t>SOE MYINT NAING</t>
  </si>
  <si>
    <t>011-27489478</t>
  </si>
  <si>
    <t>TAN CHEK KA</t>
  </si>
  <si>
    <t>014 3860363</t>
  </si>
  <si>
    <t>TEEBA A/P THURAIRAJ</t>
  </si>
  <si>
    <t>011-11247419</t>
  </si>
  <si>
    <t>THET ZAW</t>
  </si>
  <si>
    <t>011-28984097</t>
  </si>
  <si>
    <t>TIE LIN AUNG</t>
  </si>
  <si>
    <t>TIN YE AUNG</t>
  </si>
  <si>
    <t>'011 61394051</t>
  </si>
  <si>
    <t>TINT NAING TUN</t>
  </si>
  <si>
    <t>011-28984053</t>
  </si>
  <si>
    <t>TUN SOE</t>
  </si>
  <si>
    <t>'011 62039429</t>
  </si>
  <si>
    <t>WIN MIN SOE</t>
  </si>
  <si>
    <t>YAN MOE NAING</t>
  </si>
  <si>
    <t>'018 7729401</t>
  </si>
  <si>
    <t>No. 5 Jalan Api-api 3,  Taman Megah Ria,  Masai,Johor.</t>
  </si>
  <si>
    <t>NO.A-42 JALAN TERATAI,  FELDA ULU TEBRAU,  ULU TIRAM,JOHOR.</t>
  </si>
  <si>
    <t>NO. 1 &amp; 3 JALAN MAHIR 5,  TAMAN PERIND. CEMERLANG,  ULU TIRAM,JOHOR.</t>
  </si>
  <si>
    <t>NO. 1 &amp; 3 JALAN MAHIR 5,  TAMAN PERINDUSTRIAN CEMERLANG,</t>
  </si>
  <si>
    <t>NO. 1 &amp; 3 JALAN MAHIR 5, TAMAN PERINDUSTRIAN CEMERLANG,ULU TIRAM,JOHOR.</t>
  </si>
  <si>
    <t>NO 1 &amp; 3 JALAN MAHIR 5,  TAMAN PERINDUSTRIAN CEMERLANG,  ULU TIRAM,JOHOR.</t>
  </si>
  <si>
    <t xml:space="preserve">NO. 38 JALAN KENANGA 1/8,  TAMAN DESA CEMERLANG,  ULU TIRAM,  JOHOR.  </t>
  </si>
  <si>
    <t>NO. 1 &amp; 3 JALAN MAHIR 5,  TAMAN PERINDUSTRIAN CEMERLANG,  ULU TIRAM,JOHOR.</t>
  </si>
  <si>
    <t>1 Woodlands Terrace</t>
  </si>
  <si>
    <t>NO 462 JALAN ANGGERIK,  SIMPANG RENGGAM,  JOHOR.</t>
  </si>
  <si>
    <t>NO 1 &amp; 3 JALAN MAHIR 5  TAMAN PERINDUSTRIAN CEMERLANG,  ULU TIRAM,  JOHOR</t>
  </si>
  <si>
    <t>NO 1 &amp; 3 JALAN MAHIR 5,  TAMAN PERINDUSTRIAN CEMERLANG,  ULU TIRAM,  JOHOR</t>
  </si>
  <si>
    <t>NO 1 &amp; 3 JALAN MAHIR 5  TAMAN PERINDUSTRIAN CEMERMERLANG,  ULU TIRAM,JOHOR</t>
  </si>
  <si>
    <t>NO 1 &amp; 3 JALAN MAHIR 5,  TMN PERIND. CEMERLANG,  ULU TIRAM,  JOHOR.</t>
  </si>
  <si>
    <t>NO 1 &amp; 3 JLN MAHIR 5,  TMN PERINDUSTRIAN CEMERLANG,  ULU TIRAM,  JOHOR.</t>
  </si>
  <si>
    <t>NO 1 &amp; 3 JALAN MAHIR 5,  TAMAN PERIND. CEMERLANG,  ULU TIRAM,  JOHOR.</t>
  </si>
  <si>
    <t>NO 49 JALAN JOHAR 7,  TAMAN DESA CEMERLANG,  ULU TIRAM,  JOHOR.</t>
  </si>
  <si>
    <t>NO 49 JLN JOHAR 7,  TMN DESA CEMERLANG,  ULU TIRAM,JOHOR</t>
  </si>
  <si>
    <t>NO 03-12 BLK H,  PANGSAPURI AKASIA,  TAMAN DESA CEMERLANG,  ULU TIRAM,JOHOR.</t>
  </si>
  <si>
    <t>No. 05-12 BLOK A,  FLAT AKASIA,  TAMAN DESA CEMERLANG,  ULU TIRAM,JOHOR.</t>
  </si>
  <si>
    <t>NO 22 JALAN KERIS 27,  TAMAN PUTRI WANGSA,  ULU TIRAM,  JOHOR</t>
  </si>
  <si>
    <t>NO. 1 &amp;3 JALAN MAHIR 5,  TAMAN PERINDUSTRIAN CEMERLANG,  ULU TIRAM,JOHOR.</t>
  </si>
  <si>
    <t>NO 1 &amp; 3 JALAN MAHIR 5,  TAMAN PERINDUSTRIAN CEMERLANG,  ULU TIRAM,  JOHOR.</t>
  </si>
  <si>
    <t>NO 87 JALAN BUNGA RAYA  SIMPANG RENGGAM,  JOHOR.</t>
  </si>
  <si>
    <t>NO 66. JALAN TEMBIKAI 18,  TAMAN KOTA MASAI,  PASIR GUDANG,  JOHOR.</t>
  </si>
  <si>
    <t>NO. 1 &amp; 3 JALAN MAHIR 5  TAMAN PERINDUSTRIAN CEMERLANG,  ULU TIRAM,  JOHOR.</t>
  </si>
  <si>
    <t xml:space="preserve">NO 1 &amp; 3 JLN MAHIR 5,  TMN PERINDUSTRIAN CEMERLANG,  ULU TIRAM,  JOHOR.  </t>
  </si>
  <si>
    <t>Malaysian</t>
  </si>
  <si>
    <t>Singaporean</t>
  </si>
  <si>
    <t>Singapore PR</t>
  </si>
  <si>
    <t>Thai</t>
  </si>
  <si>
    <t>920726-12-5649</t>
  </si>
  <si>
    <t>M</t>
  </si>
  <si>
    <t>1992-07-26 00:00:00.000</t>
  </si>
  <si>
    <t>MA</t>
  </si>
  <si>
    <t>911119-01-6032</t>
  </si>
  <si>
    <t>F</t>
  </si>
  <si>
    <t>1991-11-19 00:00:00.000</t>
  </si>
  <si>
    <t>MH795696</t>
  </si>
  <si>
    <t>1984-09-11 00:00:00.000</t>
  </si>
  <si>
    <t>MM</t>
  </si>
  <si>
    <t>MI311679</t>
  </si>
  <si>
    <t>1985-05-09 00:00:00.000</t>
  </si>
  <si>
    <t>MI311674</t>
  </si>
  <si>
    <t>1985-06-30 00:00:00.000</t>
  </si>
  <si>
    <t>MI196498</t>
  </si>
  <si>
    <t>1986-07-20 00:00:00.000</t>
  </si>
  <si>
    <t>MG148395</t>
  </si>
  <si>
    <t>2004-05-05 00:00:00.000</t>
  </si>
  <si>
    <t>S1438776E</t>
  </si>
  <si>
    <t>1960-03-31 00:00:00.000</t>
  </si>
  <si>
    <t>890613-12-5840</t>
  </si>
  <si>
    <t>1989-06-13 00:00:00.000</t>
  </si>
  <si>
    <t>MG811308</t>
  </si>
  <si>
    <t>2004-07-28 00:00:00.000</t>
  </si>
  <si>
    <t>S7170640J</t>
  </si>
  <si>
    <t>1971-06-05 00:00:00.000</t>
  </si>
  <si>
    <t>MG388078</t>
  </si>
  <si>
    <t>1996-04-27 00:00:00.000</t>
  </si>
  <si>
    <t>MG260359</t>
  </si>
  <si>
    <t>1997-03-02 00:00:00.000</t>
  </si>
  <si>
    <t>MG178975</t>
  </si>
  <si>
    <t>1988-07-18 00:00:00.000</t>
  </si>
  <si>
    <t>810129-01-5751</t>
  </si>
  <si>
    <t>1981-01-29 00:00:00.000</t>
  </si>
  <si>
    <t>K3808456B</t>
  </si>
  <si>
    <t>1972-04-30 00:00:00.000</t>
  </si>
  <si>
    <t>OT</t>
  </si>
  <si>
    <t>K2296594A</t>
  </si>
  <si>
    <t>SP</t>
  </si>
  <si>
    <t>K1869251G</t>
  </si>
  <si>
    <t>1943-06-26 00:00:00.000</t>
  </si>
  <si>
    <t>AD0457811</t>
  </si>
  <si>
    <t>1979-10-06 00:00:00.000</t>
  </si>
  <si>
    <t>TH</t>
  </si>
  <si>
    <t>MG219296</t>
  </si>
  <si>
    <t>1988-06-16 00:00:00.000</t>
  </si>
  <si>
    <t>MD896708</t>
  </si>
  <si>
    <t>1990-06-12 00:00:00.000</t>
  </si>
  <si>
    <t>MF235058</t>
  </si>
  <si>
    <t>1990-05-07 00:00:00.000</t>
  </si>
  <si>
    <t>MI311652</t>
  </si>
  <si>
    <t>1987-05-28 00:00:00.000</t>
  </si>
  <si>
    <t>MF896705</t>
  </si>
  <si>
    <t>1997-10-02 00:00:00.000</t>
  </si>
  <si>
    <t>MF896709</t>
  </si>
  <si>
    <t>1980-06-28 00:00:00.000</t>
  </si>
  <si>
    <t>720328-01-6133</t>
  </si>
  <si>
    <t>1972-03-28 00:00:00.000</t>
  </si>
  <si>
    <t>721127-01-5788</t>
  </si>
  <si>
    <t>1972-11-21 00:00:00.000</t>
  </si>
  <si>
    <t>740724-01-6176</t>
  </si>
  <si>
    <t>1974-07-24 00:00:00.000</t>
  </si>
  <si>
    <t>951009-01-6476</t>
  </si>
  <si>
    <t>1995-10-09 00:00:00.000</t>
  </si>
  <si>
    <t>MG963220</t>
  </si>
  <si>
    <t>1982-09-03 00:00:00.000</t>
  </si>
  <si>
    <t>900327-01-6594</t>
  </si>
  <si>
    <t>1990-03-27 00:00:00.000</t>
  </si>
  <si>
    <t>MG148390</t>
  </si>
  <si>
    <t>1997-06-15 00:00:00.000</t>
  </si>
  <si>
    <t>MF896706</t>
  </si>
  <si>
    <t>1988-10-15 00:00:00.000</t>
  </si>
  <si>
    <t>MG564512</t>
  </si>
  <si>
    <t>2002-09-18 00:00:00.000</t>
  </si>
  <si>
    <t>760906-01-7143</t>
  </si>
  <si>
    <t>1976-09-06 00:00:00.000</t>
  </si>
  <si>
    <t>981119-08-6982</t>
  </si>
  <si>
    <t>1998-11-19 00:00:00.000</t>
  </si>
  <si>
    <t>MH680607</t>
  </si>
  <si>
    <t>1989-07-19 00:00:00.000</t>
  </si>
  <si>
    <t>MI225867</t>
  </si>
  <si>
    <t>1989-06-26 00:00:00.000</t>
  </si>
  <si>
    <t>MG569527</t>
  </si>
  <si>
    <t>1991-12-22 00:00:00.000</t>
  </si>
  <si>
    <t>MH053215</t>
  </si>
  <si>
    <t>2002-01-12 00:00:00.000</t>
  </si>
  <si>
    <t>MF896704</t>
  </si>
  <si>
    <t>1998-04-02 00:00:00.000</t>
  </si>
  <si>
    <t>MI225868</t>
  </si>
  <si>
    <t>1994-12-09 00:00:00.000</t>
  </si>
  <si>
    <t>MF896707</t>
  </si>
  <si>
    <t>1988-01-06 00:00:00.000</t>
  </si>
  <si>
    <t>L024</t>
  </si>
  <si>
    <t>L042</t>
  </si>
  <si>
    <t>M059</t>
  </si>
  <si>
    <t>M052</t>
  </si>
  <si>
    <t>M047</t>
  </si>
  <si>
    <t>M060</t>
  </si>
  <si>
    <t>M055</t>
  </si>
  <si>
    <t>S005</t>
  </si>
  <si>
    <t>O004</t>
  </si>
  <si>
    <t>M051</t>
  </si>
  <si>
    <t>S004</t>
  </si>
  <si>
    <t>M053</t>
  </si>
  <si>
    <t>M049</t>
  </si>
  <si>
    <t>M046</t>
  </si>
  <si>
    <t>L004</t>
  </si>
  <si>
    <t>S002</t>
  </si>
  <si>
    <t>S003</t>
  </si>
  <si>
    <t>S001</t>
  </si>
  <si>
    <t>T004</t>
  </si>
  <si>
    <t>M061</t>
  </si>
  <si>
    <t>M036</t>
  </si>
  <si>
    <t>M031</t>
  </si>
  <si>
    <t>M048</t>
  </si>
  <si>
    <t>M037</t>
  </si>
  <si>
    <t>M014</t>
  </si>
  <si>
    <t>L001</t>
  </si>
  <si>
    <t>L005</t>
  </si>
  <si>
    <t>O001</t>
  </si>
  <si>
    <t>O006</t>
  </si>
  <si>
    <t>M006</t>
  </si>
  <si>
    <t>L015</t>
  </si>
  <si>
    <t>M056</t>
  </si>
  <si>
    <t>M032</t>
  </si>
  <si>
    <t>M054</t>
  </si>
  <si>
    <t>L007</t>
  </si>
  <si>
    <t>L053</t>
  </si>
  <si>
    <t>M058</t>
  </si>
  <si>
    <t>M062</t>
  </si>
  <si>
    <t>M050</t>
  </si>
  <si>
    <t>M057</t>
  </si>
  <si>
    <t>M034</t>
  </si>
  <si>
    <t>M063</t>
  </si>
  <si>
    <t>M033</t>
  </si>
  <si>
    <t>D</t>
  </si>
  <si>
    <t>S</t>
  </si>
  <si>
    <t>U THAUNG</t>
  </si>
  <si>
    <t>U KYAW AUNG</t>
  </si>
  <si>
    <t>U KYAW LIN</t>
  </si>
  <si>
    <t>U MYA NYUNT</t>
  </si>
  <si>
    <t>U MAUNG GYI</t>
  </si>
  <si>
    <t>U THAN OO</t>
  </si>
  <si>
    <t>QUAH GEOK EAN</t>
  </si>
  <si>
    <t>0</t>
  </si>
  <si>
    <t>FIKANATALIA</t>
  </si>
  <si>
    <t>SALES-INDONESIA</t>
  </si>
  <si>
    <t>COUNTRY MGR</t>
  </si>
  <si>
    <t>LIM KOK KHENG</t>
  </si>
  <si>
    <t>fika@lingjack.com</t>
  </si>
  <si>
    <t>Indonesian</t>
  </si>
  <si>
    <t>AAA</t>
  </si>
  <si>
    <t>00028</t>
  </si>
  <si>
    <t>Married</t>
  </si>
  <si>
    <t>AGOTE LILIBETH</t>
  </si>
  <si>
    <t>AUNG ZAW MIN</t>
  </si>
  <si>
    <t>CAROL WOON CHEN HEONG</t>
  </si>
  <si>
    <t>CHAI YANN YI</t>
  </si>
  <si>
    <t>CHEN MANYING</t>
  </si>
  <si>
    <t>CHIN YI MIN</t>
  </si>
  <si>
    <t>CHONG SUK FANG</t>
  </si>
  <si>
    <t>COSCA KENDRICK ANDREW JAVIER</t>
  </si>
  <si>
    <t>DALA JOHN PAUL BUHAIN</t>
  </si>
  <si>
    <t>EDEN LIM ZHI HENG</t>
  </si>
  <si>
    <t>ER HWEE LIN</t>
  </si>
  <si>
    <t>FUNG HOE ANN</t>
  </si>
  <si>
    <t>GOH CHIEW PENG DORIS</t>
  </si>
  <si>
    <t>HEW MEI LING</t>
  </si>
  <si>
    <t>HTAN LAN KHAING</t>
  </si>
  <si>
    <t>KHAIRUL AMMAR BIN NORDIN</t>
  </si>
  <si>
    <t>KOH LIAN WAH</t>
  </si>
  <si>
    <t>KWA SHI YUN</t>
  </si>
  <si>
    <t>LEE YEN MAY</t>
  </si>
  <si>
    <t>LEROY SOH YI XIONG</t>
  </si>
  <si>
    <t>LIAW ZHU YIK</t>
  </si>
  <si>
    <t>LIM AI ENG IVY</t>
  </si>
  <si>
    <t>LIM HONG MENG</t>
  </si>
  <si>
    <t>LIM JUN HUI</t>
  </si>
  <si>
    <t>LIM KOK MENG</t>
  </si>
  <si>
    <t>LIM KOK SIONG</t>
  </si>
  <si>
    <t>LIM MEI QI</t>
  </si>
  <si>
    <t>LO WAI HOU</t>
  </si>
  <si>
    <t>MARIA MAGDALENA</t>
  </si>
  <si>
    <t>MARIMUTHU SURESH KUMAR</t>
  </si>
  <si>
    <t>NGIN WEI CHUAN</t>
  </si>
  <si>
    <t>OW SIEW MAY</t>
  </si>
  <si>
    <t>PAY NIEN TSU</t>
  </si>
  <si>
    <t>PHYO THU YANE</t>
  </si>
  <si>
    <t>POON HUI JIAN</t>
  </si>
  <si>
    <t>RAMALINGGAM SUBRAMANIUM</t>
  </si>
  <si>
    <t>SHANMUGAM PALANIYAPPAN</t>
  </si>
  <si>
    <t>TAI SIAO MEE</t>
  </si>
  <si>
    <t>TAN BEI SHAN</t>
  </si>
  <si>
    <t>TAN KHEM HIOK</t>
  </si>
  <si>
    <t>TAN LI WOON</t>
  </si>
  <si>
    <t>TAN THAU YAP</t>
  </si>
  <si>
    <t>TAN YI HUI</t>
  </si>
  <si>
    <t>TEYOH HUEY LING</t>
  </si>
  <si>
    <t>V VIJAYAKUMAR VASU DEVAN</t>
  </si>
  <si>
    <t>VIVIAN LIM XIN YING</t>
  </si>
  <si>
    <t>YANG PEI YUN</t>
  </si>
  <si>
    <t>YAP KAI CHONG</t>
  </si>
  <si>
    <t>YEAP PEI WOON</t>
  </si>
  <si>
    <t>YIN DEZHUANG</t>
  </si>
  <si>
    <t>Emlpoyee Name</t>
  </si>
  <si>
    <t>Emergency Contact Name</t>
  </si>
  <si>
    <t>Emergency Contact Phone</t>
  </si>
  <si>
    <t>M3401812R</t>
  </si>
  <si>
    <t>A57518164</t>
  </si>
  <si>
    <t>G8807471N</t>
  </si>
  <si>
    <t>A61168554</t>
  </si>
  <si>
    <t>63 976 525 9679</t>
  </si>
  <si>
    <t>Filipino</t>
  </si>
  <si>
    <t>P5814232A</t>
  </si>
  <si>
    <t>PH</t>
  </si>
  <si>
    <t>Bangladeshi</t>
  </si>
  <si>
    <t>G2031335N</t>
  </si>
  <si>
    <t>A17837145</t>
  </si>
  <si>
    <t>M3460658N</t>
  </si>
  <si>
    <t>MH674511</t>
  </si>
  <si>
    <t>G1481868K</t>
  </si>
  <si>
    <t>MG766688</t>
  </si>
  <si>
    <t>G6133091M</t>
  </si>
  <si>
    <t>MH887710</t>
  </si>
  <si>
    <t>S8560157A</t>
  </si>
  <si>
    <t>K2274904A</t>
  </si>
  <si>
    <t>S9088044F</t>
  </si>
  <si>
    <t>K4101362G</t>
  </si>
  <si>
    <t>34 KEPPEL BAY DR #03-67 CARIBBEAN AT KEPPEL BAY</t>
  </si>
  <si>
    <t>S7048029H</t>
  </si>
  <si>
    <t>K5451972B</t>
  </si>
  <si>
    <t>HO KIAN TECK</t>
  </si>
  <si>
    <t>K4401890D</t>
  </si>
  <si>
    <t>wendychen@lingjack.com</t>
  </si>
  <si>
    <t>BLK 515 JURONG WEST ST 52 #02-25</t>
  </si>
  <si>
    <t>G0853686X</t>
  </si>
  <si>
    <t>EE6836275</t>
  </si>
  <si>
    <t>0 79189952</t>
  </si>
  <si>
    <t>G5939387T</t>
  </si>
  <si>
    <t>E98378751</t>
  </si>
  <si>
    <t>SPR</t>
  </si>
  <si>
    <t>S9379199A</t>
  </si>
  <si>
    <t>A55263196</t>
  </si>
  <si>
    <t>M3160687R</t>
  </si>
  <si>
    <t>A55291887</t>
  </si>
  <si>
    <t>M4312328Q</t>
  </si>
  <si>
    <t>P2702884C</t>
  </si>
  <si>
    <t>G4041858Q</t>
  </si>
  <si>
    <t>P0681613B</t>
  </si>
  <si>
    <t>G2407645N</t>
  </si>
  <si>
    <t>EK9020153</t>
  </si>
  <si>
    <t>G2835152L</t>
  </si>
  <si>
    <t>A56111916</t>
  </si>
  <si>
    <t>INTERNSHIP STUDENT</t>
  </si>
  <si>
    <t>APT BLK 411B FERNVALE ROAD #04-72</t>
  </si>
  <si>
    <t>T0572368F</t>
  </si>
  <si>
    <t>S6806975J</t>
  </si>
  <si>
    <t>K2600496B</t>
  </si>
  <si>
    <t>G2562867K</t>
  </si>
  <si>
    <t>EL0508351</t>
  </si>
  <si>
    <t>S7105888C</t>
  </si>
  <si>
    <t>K2675016P</t>
  </si>
  <si>
    <t>F8048193N</t>
  </si>
  <si>
    <t>A55303330</t>
  </si>
  <si>
    <t>S7420342F</t>
  </si>
  <si>
    <t>K4289324Z</t>
  </si>
  <si>
    <t>G8628897X</t>
  </si>
  <si>
    <t>EC7440264</t>
  </si>
  <si>
    <t>G7553885K</t>
  </si>
  <si>
    <t>A58256880</t>
  </si>
  <si>
    <t>G2592127K</t>
  </si>
  <si>
    <t>BW0700991</t>
  </si>
  <si>
    <t>S8565078E</t>
  </si>
  <si>
    <t>A61516445</t>
  </si>
  <si>
    <t>MG152074</t>
  </si>
  <si>
    <t>G6913730Q</t>
  </si>
  <si>
    <t>A14795428</t>
  </si>
  <si>
    <t>BAN</t>
  </si>
  <si>
    <t>Indian</t>
  </si>
  <si>
    <t>G7784597L</t>
  </si>
  <si>
    <t>Y1314801</t>
  </si>
  <si>
    <t>IN</t>
  </si>
  <si>
    <t>K3560105A</t>
  </si>
  <si>
    <t>M3673705T</t>
  </si>
  <si>
    <t>A71314557</t>
  </si>
  <si>
    <t>F7686327W</t>
  </si>
  <si>
    <t>A62009296</t>
  </si>
  <si>
    <t>S7134767B</t>
  </si>
  <si>
    <t>E4498714E</t>
  </si>
  <si>
    <t>S9429108I</t>
  </si>
  <si>
    <t>K3940596Z</t>
  </si>
  <si>
    <t>SALES EXECUTIVE III</t>
  </si>
  <si>
    <t>M4341428X</t>
  </si>
  <si>
    <t>A62955271</t>
  </si>
  <si>
    <t>S9124156J</t>
  </si>
  <si>
    <t>K3364190H</t>
  </si>
  <si>
    <t>S9307042I</t>
  </si>
  <si>
    <t>K2879507K</t>
  </si>
  <si>
    <t>S9580222B</t>
  </si>
  <si>
    <t>A70678317</t>
  </si>
  <si>
    <t>S7142055H</t>
  </si>
  <si>
    <t>E7010510N</t>
  </si>
  <si>
    <t>S8209723F</t>
  </si>
  <si>
    <t>K4061651B</t>
  </si>
  <si>
    <t>S7005351I</t>
  </si>
  <si>
    <t>K3899880R</t>
  </si>
  <si>
    <t>BLK 475B UPPER SERANGOON CRESCENT #02-537</t>
  </si>
  <si>
    <t>T0036312F</t>
  </si>
  <si>
    <t>S7217561A</t>
  </si>
  <si>
    <t>S7217560C</t>
  </si>
  <si>
    <t>EXE DIRECTOR</t>
  </si>
  <si>
    <t>koksiong@lingjack.com</t>
  </si>
  <si>
    <t>27 JlN LEGUNDI</t>
  </si>
  <si>
    <t>S7104234J</t>
  </si>
  <si>
    <t>K2339084G</t>
  </si>
  <si>
    <t>M3246526Q</t>
  </si>
  <si>
    <t>A57112365</t>
  </si>
  <si>
    <t>S1059331Z</t>
  </si>
  <si>
    <t>K5609680B</t>
  </si>
  <si>
    <t>G7739664R</t>
  </si>
  <si>
    <t>EF1579610</t>
  </si>
  <si>
    <t>G2849082N</t>
  </si>
  <si>
    <t>EN6414660</t>
  </si>
  <si>
    <t>S8158958E</t>
  </si>
  <si>
    <t>H60593178</t>
  </si>
  <si>
    <t>G7008742T</t>
  </si>
  <si>
    <t>H62381693</t>
  </si>
  <si>
    <t>G3154891N</t>
  </si>
  <si>
    <t>X2761334</t>
  </si>
  <si>
    <t>G7515278M</t>
  </si>
  <si>
    <t>V6145570</t>
  </si>
  <si>
    <t>G8399697N</t>
  </si>
  <si>
    <t>A08372876</t>
  </si>
  <si>
    <t>M3024335P</t>
  </si>
  <si>
    <t>A61815769</t>
  </si>
  <si>
    <t>G7458921P</t>
  </si>
  <si>
    <t>A61796087</t>
  </si>
  <si>
    <t>F7789388K</t>
  </si>
  <si>
    <t>A52406839</t>
  </si>
  <si>
    <t>M3350959J</t>
  </si>
  <si>
    <t>A59715852</t>
  </si>
  <si>
    <t>G8526917N</t>
  </si>
  <si>
    <t>A55430345</t>
  </si>
  <si>
    <t>G8570954U</t>
  </si>
  <si>
    <t>M3420654J</t>
  </si>
  <si>
    <t>A58099451</t>
  </si>
  <si>
    <t>G2448277X</t>
  </si>
  <si>
    <t>W6972502</t>
  </si>
  <si>
    <t>M3079472Q</t>
  </si>
  <si>
    <t>A59087240</t>
  </si>
  <si>
    <t>S8569094I</t>
  </si>
  <si>
    <t>A55214626</t>
  </si>
  <si>
    <t>S9587084H</t>
  </si>
  <si>
    <t>A62124207</t>
  </si>
  <si>
    <t>M3545458J</t>
  </si>
  <si>
    <t>A59874808</t>
  </si>
  <si>
    <t>S1131643C</t>
  </si>
  <si>
    <t>K5201904P</t>
  </si>
  <si>
    <t>S7246044H</t>
  </si>
  <si>
    <t>K3897678A</t>
  </si>
  <si>
    <t>M4353805L</t>
  </si>
  <si>
    <t>A58262372</t>
  </si>
  <si>
    <t>S8116986A</t>
  </si>
  <si>
    <t>K2362609A</t>
  </si>
  <si>
    <t>54 CHOA CHU KANG NORTH 7 #05-36  REGENT GROVE</t>
  </si>
  <si>
    <t>M4266702U</t>
  </si>
  <si>
    <t>MJ321755</t>
  </si>
  <si>
    <t>M4228799N</t>
  </si>
  <si>
    <t>A55657941</t>
  </si>
  <si>
    <t>S7989573C</t>
  </si>
  <si>
    <t>A61681058</t>
  </si>
  <si>
    <t>G2426592M</t>
  </si>
  <si>
    <t>A57674951</t>
  </si>
  <si>
    <t>G8171269M</t>
  </si>
  <si>
    <t>Y8024195</t>
  </si>
  <si>
    <t>P1460058C</t>
  </si>
  <si>
    <t>G8859278L</t>
  </si>
  <si>
    <t>S6994754</t>
  </si>
  <si>
    <t>G8782385M</t>
  </si>
  <si>
    <t>EK0784649</t>
  </si>
  <si>
    <t>G6816599M</t>
  </si>
  <si>
    <t>A58096766</t>
  </si>
  <si>
    <t>S7136258B</t>
  </si>
  <si>
    <t>K4328483N</t>
  </si>
  <si>
    <t>S8578271A</t>
  </si>
  <si>
    <t>A53798916</t>
  </si>
  <si>
    <t>F1043825W</t>
  </si>
  <si>
    <t>A57409697</t>
  </si>
  <si>
    <t>G8818007R</t>
  </si>
  <si>
    <t>A58930417</t>
  </si>
  <si>
    <t>F7016194W</t>
  </si>
  <si>
    <t>A62379778</t>
  </si>
  <si>
    <t>G4131670K</t>
  </si>
  <si>
    <t>A72103530</t>
  </si>
  <si>
    <t>S1217252D</t>
  </si>
  <si>
    <t>K3101914G</t>
  </si>
  <si>
    <t>G2042177R</t>
  </si>
  <si>
    <t>A61154136</t>
  </si>
  <si>
    <t>S8868994A</t>
  </si>
  <si>
    <t>A55188366</t>
  </si>
  <si>
    <t>S6978299Z</t>
  </si>
  <si>
    <t>A58789045</t>
  </si>
  <si>
    <t>M4221453U</t>
  </si>
  <si>
    <t>S7498684</t>
  </si>
  <si>
    <t>M3399917P</t>
  </si>
  <si>
    <t>AI591219</t>
  </si>
  <si>
    <t>G3866377T</t>
  </si>
  <si>
    <t>MG387523</t>
  </si>
  <si>
    <t>S8388288C</t>
  </si>
  <si>
    <t>A62717576</t>
  </si>
  <si>
    <t>G7744956L</t>
  </si>
  <si>
    <t>A58166597</t>
  </si>
  <si>
    <t>M4297917U</t>
  </si>
  <si>
    <t>A54917286</t>
  </si>
  <si>
    <t>G2370367Q</t>
  </si>
  <si>
    <t>A56366863</t>
  </si>
  <si>
    <t>S8663204G</t>
  </si>
  <si>
    <t>K4301309Z</t>
  </si>
  <si>
    <t>S8501611C</t>
  </si>
  <si>
    <t>K5492577A</t>
  </si>
  <si>
    <t>S8955400D</t>
  </si>
  <si>
    <t>A61990481</t>
  </si>
  <si>
    <t>G2351913K</t>
  </si>
  <si>
    <t>EB4595023</t>
  </si>
  <si>
    <t>G8994333M</t>
  </si>
  <si>
    <t>EF1764961</t>
  </si>
  <si>
    <t>G2471594P</t>
  </si>
  <si>
    <t>EL0525976</t>
  </si>
  <si>
    <t>G8080034M</t>
  </si>
  <si>
    <t>E94332904</t>
  </si>
  <si>
    <t>0519</t>
  </si>
  <si>
    <t>0516</t>
  </si>
  <si>
    <t>0514</t>
  </si>
  <si>
    <t>0506</t>
  </si>
  <si>
    <t>0352</t>
  </si>
  <si>
    <t>0521</t>
  </si>
  <si>
    <t>0520</t>
  </si>
  <si>
    <t>0513</t>
  </si>
  <si>
    <t>+918807039702</t>
  </si>
  <si>
    <t>959975913087</t>
  </si>
  <si>
    <t>601127322741</t>
  </si>
  <si>
    <t>639487924888</t>
  </si>
  <si>
    <t>Single</t>
  </si>
  <si>
    <t>China</t>
  </si>
  <si>
    <t>PHILIPPINES</t>
  </si>
  <si>
    <t>CHINA</t>
  </si>
  <si>
    <t>MALAYSIA</t>
  </si>
  <si>
    <t>BANGLADESH</t>
  </si>
  <si>
    <t>SINGAPORE</t>
  </si>
  <si>
    <t>INDIA</t>
  </si>
  <si>
    <t>MYANMAR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</si>
</sst>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4" fontId="1" fillId="0" borderId="0" xfId="0" applyNumberFormat="1" applyFont="1"/>
    <xf numFmtId="14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right"/>
    </xf>
    <xf numFmtId="0" fontId="0" fillId="2" borderId="0" xfId="0" quotePrefix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60C6-3E6C-4E07-B0A1-9D5C9591EF3A}">
  <dimension ref="A1:AJ107"/>
  <sheetViews>
    <sheetView topLeftCell="A78" workbookViewId="0">
      <selection activeCell="A11" sqref="A11"/>
    </sheetView>
  </sheetViews>
  <sheetFormatPr baseColWidth="10" defaultColWidth="8.83203125" defaultRowHeight="15" x14ac:dyDescent="0.2"/>
  <cols>
    <col min="1" max="7" width="30.6640625" customWidth="1"/>
    <col min="8" max="9" width="16.83203125" customWidth="1"/>
    <col min="10" max="22" width="30.6640625" customWidth="1"/>
    <col min="23" max="23" width="30.6640625" style="6" customWidth="1"/>
    <col min="24" max="29" width="30.6640625" customWidth="1"/>
    <col min="30" max="30" width="30.6640625" style="6" customWidth="1"/>
    <col min="31" max="31" width="14.6640625" customWidth="1"/>
    <col min="32" max="32" width="3.1640625" customWidth="1"/>
    <col min="33" max="33" width="18.5" style="3" customWidth="1"/>
    <col min="34" max="34" width="11.5" customWidth="1"/>
    <col min="35" max="36" width="30.6640625" customWidth="1"/>
  </cols>
  <sheetData>
    <row r="1" spans="1:36" x14ac:dyDescent="0.2">
      <c r="A1" s="1" t="s">
        <v>747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5" t="s">
        <v>29</v>
      </c>
      <c r="AE1" s="1" t="s">
        <v>30</v>
      </c>
      <c r="AF1" s="1" t="s">
        <v>31</v>
      </c>
      <c r="AG1" s="8" t="s">
        <v>32</v>
      </c>
      <c r="AH1" s="1" t="s">
        <v>33</v>
      </c>
      <c r="AI1" s="1" t="s">
        <v>748</v>
      </c>
      <c r="AJ1" s="1" t="s">
        <v>749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739</v>
      </c>
      <c r="G2">
        <v>94771082</v>
      </c>
      <c r="J2" t="s">
        <v>40</v>
      </c>
      <c r="L2">
        <v>738471</v>
      </c>
      <c r="M2" t="s">
        <v>41</v>
      </c>
      <c r="R2" t="s">
        <v>539</v>
      </c>
      <c r="S2" t="s">
        <v>750</v>
      </c>
      <c r="U2" t="s">
        <v>751</v>
      </c>
      <c r="V2" t="s">
        <v>43</v>
      </c>
      <c r="W2" s="6">
        <v>36048</v>
      </c>
      <c r="Y2" t="s">
        <v>989</v>
      </c>
      <c r="AD2" s="6" t="s">
        <v>428</v>
      </c>
      <c r="AE2" t="s">
        <v>985</v>
      </c>
      <c r="AF2">
        <v>0</v>
      </c>
      <c r="AG2" s="3">
        <f>VLOOKUP(D2,lookup!$A$2:$B$57,2,1)</f>
        <v>21</v>
      </c>
      <c r="AH2" t="s">
        <v>44</v>
      </c>
      <c r="AI2" t="s">
        <v>428</v>
      </c>
      <c r="AJ2" t="s">
        <v>428</v>
      </c>
    </row>
    <row r="3" spans="1:36" x14ac:dyDescent="0.2">
      <c r="A3" t="s">
        <v>45</v>
      </c>
      <c r="B3" t="s">
        <v>37</v>
      </c>
      <c r="C3" t="s">
        <v>38</v>
      </c>
      <c r="D3" t="s">
        <v>46</v>
      </c>
      <c r="E3" t="s">
        <v>739</v>
      </c>
      <c r="G3">
        <v>88586215</v>
      </c>
      <c r="J3" t="s">
        <v>40</v>
      </c>
      <c r="L3">
        <v>738471</v>
      </c>
      <c r="M3" t="s">
        <v>41</v>
      </c>
      <c r="R3" t="s">
        <v>539</v>
      </c>
      <c r="S3" t="s">
        <v>752</v>
      </c>
      <c r="U3" t="s">
        <v>753</v>
      </c>
      <c r="V3" t="s">
        <v>43</v>
      </c>
      <c r="W3" s="6">
        <v>35692</v>
      </c>
      <c r="Y3" t="s">
        <v>989</v>
      </c>
      <c r="AD3" s="6" t="s">
        <v>428</v>
      </c>
      <c r="AE3" t="s">
        <v>985</v>
      </c>
      <c r="AF3">
        <v>0</v>
      </c>
      <c r="AG3" s="3">
        <f>VLOOKUP(D3,lookup!$A$2:$B$57,2,1)</f>
        <v>24</v>
      </c>
      <c r="AH3" t="s">
        <v>47</v>
      </c>
      <c r="AI3" t="s">
        <v>428</v>
      </c>
      <c r="AJ3" t="s">
        <v>428</v>
      </c>
    </row>
    <row r="4" spans="1:36" x14ac:dyDescent="0.2">
      <c r="A4" t="s">
        <v>697</v>
      </c>
      <c r="B4" t="s">
        <v>37</v>
      </c>
      <c r="C4" t="s">
        <v>48</v>
      </c>
      <c r="D4" t="s">
        <v>49</v>
      </c>
      <c r="E4" t="s">
        <v>744</v>
      </c>
      <c r="F4" t="s">
        <v>50</v>
      </c>
      <c r="G4" t="s">
        <v>754</v>
      </c>
      <c r="J4" t="s">
        <v>40</v>
      </c>
      <c r="L4">
        <v>738471</v>
      </c>
      <c r="M4" t="s">
        <v>41</v>
      </c>
      <c r="R4" t="s">
        <v>755</v>
      </c>
      <c r="U4" t="s">
        <v>756</v>
      </c>
      <c r="V4" t="s">
        <v>51</v>
      </c>
      <c r="W4" s="6">
        <v>25921</v>
      </c>
      <c r="Y4" t="s">
        <v>987</v>
      </c>
      <c r="AD4" s="6" t="s">
        <v>428</v>
      </c>
      <c r="AE4" t="s">
        <v>985</v>
      </c>
      <c r="AF4">
        <v>0</v>
      </c>
      <c r="AG4" s="3">
        <f>VLOOKUP(D4,lookup!$A$2:$B$57,2,1)</f>
        <v>0</v>
      </c>
      <c r="AH4" t="s">
        <v>52</v>
      </c>
      <c r="AI4" t="s">
        <v>428</v>
      </c>
      <c r="AJ4" t="s">
        <v>428</v>
      </c>
    </row>
    <row r="5" spans="1:36" x14ac:dyDescent="0.2">
      <c r="A5" t="s">
        <v>53</v>
      </c>
      <c r="B5" t="s">
        <v>37</v>
      </c>
      <c r="C5" t="s">
        <v>54</v>
      </c>
      <c r="D5" t="s">
        <v>55</v>
      </c>
      <c r="E5" t="s">
        <v>686</v>
      </c>
      <c r="G5">
        <v>80589815</v>
      </c>
      <c r="J5" t="s">
        <v>40</v>
      </c>
      <c r="L5">
        <v>738471</v>
      </c>
      <c r="M5" t="s">
        <v>41</v>
      </c>
      <c r="R5" t="s">
        <v>758</v>
      </c>
      <c r="S5" t="s">
        <v>759</v>
      </c>
      <c r="U5" t="s">
        <v>760</v>
      </c>
      <c r="V5" t="s">
        <v>43</v>
      </c>
      <c r="W5" s="6">
        <v>32426</v>
      </c>
      <c r="Y5" t="s">
        <v>990</v>
      </c>
      <c r="AD5" s="6" t="s">
        <v>428</v>
      </c>
      <c r="AE5" t="s">
        <v>696</v>
      </c>
      <c r="AF5">
        <v>0</v>
      </c>
      <c r="AG5" s="3">
        <f>VLOOKUP(D5,lookup!$A$2:$B$57,2,1)</f>
        <v>22</v>
      </c>
      <c r="AH5" t="s">
        <v>56</v>
      </c>
      <c r="AI5" t="s">
        <v>428</v>
      </c>
      <c r="AJ5" t="s">
        <v>428</v>
      </c>
    </row>
    <row r="6" spans="1:36" x14ac:dyDescent="0.2">
      <c r="A6" t="s">
        <v>698</v>
      </c>
      <c r="B6" t="s">
        <v>37</v>
      </c>
      <c r="C6" t="s">
        <v>81</v>
      </c>
      <c r="D6" t="s">
        <v>82</v>
      </c>
      <c r="E6" t="s">
        <v>721</v>
      </c>
      <c r="F6" t="s">
        <v>83</v>
      </c>
      <c r="G6">
        <v>83556072</v>
      </c>
      <c r="J6" t="s">
        <v>84</v>
      </c>
      <c r="L6">
        <v>640448</v>
      </c>
      <c r="M6" t="s">
        <v>41</v>
      </c>
      <c r="R6" t="s">
        <v>60</v>
      </c>
      <c r="S6" t="s">
        <v>765</v>
      </c>
      <c r="U6" t="s">
        <v>766</v>
      </c>
      <c r="V6" t="s">
        <v>43</v>
      </c>
      <c r="W6" s="6">
        <v>31666</v>
      </c>
      <c r="Y6" t="s">
        <v>993</v>
      </c>
      <c r="AC6" t="s">
        <v>85</v>
      </c>
      <c r="AD6" s="6">
        <v>46389</v>
      </c>
      <c r="AE6" t="s">
        <v>696</v>
      </c>
      <c r="AF6">
        <v>0</v>
      </c>
      <c r="AG6" s="3">
        <f>VLOOKUP(D6,lookup!$A$2:$B$57,2,1)</f>
        <v>58</v>
      </c>
      <c r="AH6" t="s">
        <v>86</v>
      </c>
      <c r="AI6" t="s">
        <v>87</v>
      </c>
      <c r="AJ6" t="s">
        <v>88</v>
      </c>
    </row>
    <row r="7" spans="1:36" x14ac:dyDescent="0.2">
      <c r="A7" t="s">
        <v>699</v>
      </c>
      <c r="B7" t="s">
        <v>37</v>
      </c>
      <c r="C7" t="s">
        <v>75</v>
      </c>
      <c r="D7" t="s">
        <v>101</v>
      </c>
      <c r="E7" t="s">
        <v>719</v>
      </c>
      <c r="F7" t="s">
        <v>102</v>
      </c>
      <c r="G7">
        <v>83127004</v>
      </c>
      <c r="J7" t="s">
        <v>103</v>
      </c>
      <c r="L7">
        <v>750337</v>
      </c>
      <c r="M7" t="s">
        <v>41</v>
      </c>
      <c r="R7" t="s">
        <v>540</v>
      </c>
      <c r="S7" t="s">
        <v>767</v>
      </c>
      <c r="U7" t="s">
        <v>768</v>
      </c>
      <c r="V7" t="s">
        <v>51</v>
      </c>
      <c r="W7" s="6">
        <v>31085</v>
      </c>
      <c r="Y7" t="s">
        <v>989</v>
      </c>
      <c r="AD7" s="6" t="s">
        <v>428</v>
      </c>
      <c r="AE7" t="s">
        <v>696</v>
      </c>
      <c r="AF7">
        <v>0</v>
      </c>
      <c r="AG7" s="3">
        <f>VLOOKUP(D7,lookup!$A$2:$B$57,2,1)</f>
        <v>0</v>
      </c>
      <c r="AH7" t="s">
        <v>104</v>
      </c>
      <c r="AI7" t="s">
        <v>105</v>
      </c>
      <c r="AJ7" t="s">
        <v>106</v>
      </c>
    </row>
    <row r="8" spans="1:36" x14ac:dyDescent="0.2">
      <c r="A8" t="s">
        <v>700</v>
      </c>
      <c r="B8" t="s">
        <v>37</v>
      </c>
      <c r="C8" t="s">
        <v>127</v>
      </c>
      <c r="D8" t="s">
        <v>401</v>
      </c>
      <c r="E8" t="s">
        <v>740</v>
      </c>
      <c r="F8" t="s">
        <v>402</v>
      </c>
      <c r="G8">
        <v>81918112</v>
      </c>
      <c r="J8" t="s">
        <v>403</v>
      </c>
      <c r="L8">
        <v>734694</v>
      </c>
      <c r="M8" t="s">
        <v>41</v>
      </c>
      <c r="R8" t="s">
        <v>540</v>
      </c>
      <c r="S8" t="s">
        <v>769</v>
      </c>
      <c r="U8" t="s">
        <v>770</v>
      </c>
      <c r="V8" t="s">
        <v>51</v>
      </c>
      <c r="W8" s="6">
        <v>32918</v>
      </c>
      <c r="Y8" t="s">
        <v>989</v>
      </c>
      <c r="AD8" s="6" t="s">
        <v>428</v>
      </c>
      <c r="AE8" t="s">
        <v>696</v>
      </c>
      <c r="AF8">
        <v>0</v>
      </c>
      <c r="AG8" s="3">
        <f>VLOOKUP(D8,lookup!$A$2:$B$57,2,1)</f>
        <v>0</v>
      </c>
      <c r="AH8" t="s">
        <v>404</v>
      </c>
      <c r="AI8" t="s">
        <v>405</v>
      </c>
      <c r="AJ8" t="s">
        <v>406</v>
      </c>
    </row>
    <row r="9" spans="1:36" x14ac:dyDescent="0.2">
      <c r="A9" t="s">
        <v>433</v>
      </c>
      <c r="B9" t="s">
        <v>37</v>
      </c>
      <c r="C9" t="s">
        <v>132</v>
      </c>
      <c r="D9" t="s">
        <v>133</v>
      </c>
      <c r="E9" t="s">
        <v>774</v>
      </c>
      <c r="F9" t="s">
        <v>134</v>
      </c>
      <c r="G9">
        <v>91271863</v>
      </c>
      <c r="J9" t="s">
        <v>135</v>
      </c>
      <c r="L9">
        <v>557152</v>
      </c>
      <c r="M9" t="s">
        <v>41</v>
      </c>
      <c r="R9" t="s">
        <v>540</v>
      </c>
      <c r="S9" t="s">
        <v>561</v>
      </c>
      <c r="U9" t="s">
        <v>775</v>
      </c>
      <c r="V9" t="s">
        <v>51</v>
      </c>
      <c r="W9" s="6">
        <v>22006</v>
      </c>
      <c r="AD9" s="6" t="s">
        <v>428</v>
      </c>
      <c r="AE9" t="s">
        <v>985</v>
      </c>
      <c r="AF9">
        <v>0</v>
      </c>
      <c r="AG9" s="3">
        <f>VLOOKUP(D9,lookup!$A$2:$B$57,2,1)</f>
        <v>0</v>
      </c>
      <c r="AH9" t="s">
        <v>136</v>
      </c>
      <c r="AI9" t="s">
        <v>428</v>
      </c>
      <c r="AJ9" t="s">
        <v>428</v>
      </c>
    </row>
    <row r="10" spans="1:36" x14ac:dyDescent="0.2">
      <c r="A10" t="s">
        <v>701</v>
      </c>
      <c r="B10" t="s">
        <v>37</v>
      </c>
      <c r="C10" t="s">
        <v>54</v>
      </c>
      <c r="D10" t="s">
        <v>97</v>
      </c>
      <c r="E10" t="s">
        <v>686</v>
      </c>
      <c r="F10" t="s">
        <v>776</v>
      </c>
      <c r="G10">
        <v>84443859</v>
      </c>
      <c r="J10" t="s">
        <v>777</v>
      </c>
      <c r="L10">
        <v>640515</v>
      </c>
      <c r="M10" t="s">
        <v>41</v>
      </c>
      <c r="R10" t="s">
        <v>986</v>
      </c>
      <c r="S10" t="s">
        <v>778</v>
      </c>
      <c r="U10" t="s">
        <v>779</v>
      </c>
      <c r="V10" t="s">
        <v>51</v>
      </c>
      <c r="W10" s="6">
        <v>36932</v>
      </c>
      <c r="Y10" t="s">
        <v>988</v>
      </c>
      <c r="AC10" t="s">
        <v>780</v>
      </c>
      <c r="AD10" s="6">
        <v>46722</v>
      </c>
      <c r="AE10" t="s">
        <v>985</v>
      </c>
      <c r="AF10">
        <v>0</v>
      </c>
      <c r="AG10" s="3" t="str">
        <f>VLOOKUP(D10,lookup!$A$2:$B$57,2,1)</f>
        <v>0</v>
      </c>
      <c r="AH10" t="s">
        <v>973</v>
      </c>
      <c r="AI10" t="s">
        <v>428</v>
      </c>
      <c r="AJ10" t="s">
        <v>428</v>
      </c>
    </row>
    <row r="11" spans="1:36" x14ac:dyDescent="0.2">
      <c r="A11" t="s">
        <v>94</v>
      </c>
      <c r="B11" t="s">
        <v>37</v>
      </c>
      <c r="C11" t="s">
        <v>81</v>
      </c>
      <c r="D11" t="s">
        <v>95</v>
      </c>
      <c r="E11" t="s">
        <v>698</v>
      </c>
      <c r="G11">
        <v>83856282</v>
      </c>
      <c r="J11" t="s">
        <v>40</v>
      </c>
      <c r="L11">
        <v>738471</v>
      </c>
      <c r="M11" t="s">
        <v>41</v>
      </c>
      <c r="R11" t="s">
        <v>986</v>
      </c>
      <c r="S11" t="s">
        <v>781</v>
      </c>
      <c r="U11" t="s">
        <v>782</v>
      </c>
      <c r="V11" t="s">
        <v>43</v>
      </c>
      <c r="W11" s="6">
        <v>27293</v>
      </c>
      <c r="Y11" t="s">
        <v>988</v>
      </c>
      <c r="AD11" s="6" t="s">
        <v>428</v>
      </c>
      <c r="AE11" t="s">
        <v>696</v>
      </c>
      <c r="AF11">
        <v>0</v>
      </c>
      <c r="AG11" s="3">
        <f>VLOOKUP(D11,lookup!$A$2:$B$57,2,1)</f>
        <v>24</v>
      </c>
      <c r="AH11" t="s">
        <v>96</v>
      </c>
      <c r="AI11" t="s">
        <v>428</v>
      </c>
      <c r="AJ11" t="s">
        <v>428</v>
      </c>
    </row>
    <row r="12" spans="1:36" x14ac:dyDescent="0.2">
      <c r="A12" t="s">
        <v>702</v>
      </c>
      <c r="B12" t="s">
        <v>37</v>
      </c>
      <c r="C12" t="s">
        <v>54</v>
      </c>
      <c r="D12" t="s">
        <v>97</v>
      </c>
      <c r="E12" t="s">
        <v>686</v>
      </c>
      <c r="F12" t="s">
        <v>98</v>
      </c>
      <c r="G12">
        <v>84332388</v>
      </c>
      <c r="J12" t="s">
        <v>99</v>
      </c>
      <c r="L12">
        <v>734782</v>
      </c>
      <c r="M12" t="s">
        <v>41</v>
      </c>
      <c r="R12" t="s">
        <v>539</v>
      </c>
      <c r="S12" t="s">
        <v>784</v>
      </c>
      <c r="U12" t="s">
        <v>785</v>
      </c>
      <c r="V12" t="s">
        <v>51</v>
      </c>
      <c r="W12" s="6">
        <v>34258</v>
      </c>
      <c r="Y12" t="s">
        <v>989</v>
      </c>
      <c r="AD12" s="6" t="s">
        <v>428</v>
      </c>
      <c r="AE12" t="s">
        <v>696</v>
      </c>
      <c r="AF12">
        <v>0</v>
      </c>
      <c r="AG12" s="3" t="str">
        <f>VLOOKUP(D12,lookup!$A$2:$B$57,2,1)</f>
        <v>0</v>
      </c>
      <c r="AH12" t="s">
        <v>100</v>
      </c>
      <c r="AI12" t="s">
        <v>428</v>
      </c>
      <c r="AJ12" t="s">
        <v>428</v>
      </c>
    </row>
    <row r="13" spans="1:36" x14ac:dyDescent="0.2">
      <c r="A13" t="s">
        <v>703</v>
      </c>
      <c r="B13" t="s">
        <v>37</v>
      </c>
      <c r="C13" t="s">
        <v>127</v>
      </c>
      <c r="D13" t="s">
        <v>346</v>
      </c>
      <c r="E13" t="s">
        <v>740</v>
      </c>
      <c r="F13" t="s">
        <v>347</v>
      </c>
      <c r="G13">
        <v>87971206</v>
      </c>
      <c r="J13" t="s">
        <v>348</v>
      </c>
      <c r="L13">
        <v>730406</v>
      </c>
      <c r="M13" t="s">
        <v>41</v>
      </c>
      <c r="R13" t="s">
        <v>539</v>
      </c>
      <c r="S13" t="s">
        <v>786</v>
      </c>
      <c r="U13" t="s">
        <v>787</v>
      </c>
      <c r="V13" t="s">
        <v>51</v>
      </c>
      <c r="W13" s="6">
        <v>36135</v>
      </c>
      <c r="Y13" t="s">
        <v>989</v>
      </c>
      <c r="AD13" s="6" t="s">
        <v>428</v>
      </c>
      <c r="AE13" t="s">
        <v>985</v>
      </c>
      <c r="AF13">
        <v>0</v>
      </c>
      <c r="AG13" s="3">
        <f>VLOOKUP(D13,lookup!$A$2:$B$57,2,1)</f>
        <v>0</v>
      </c>
      <c r="AH13" t="s">
        <v>349</v>
      </c>
      <c r="AI13" t="s">
        <v>428</v>
      </c>
      <c r="AJ13" t="s">
        <v>428</v>
      </c>
    </row>
    <row r="14" spans="1:36" x14ac:dyDescent="0.2">
      <c r="A14" t="s">
        <v>107</v>
      </c>
      <c r="B14" t="s">
        <v>37</v>
      </c>
      <c r="C14" t="s">
        <v>81</v>
      </c>
      <c r="D14" t="s">
        <v>108</v>
      </c>
      <c r="E14" t="s">
        <v>698</v>
      </c>
      <c r="G14">
        <v>98933232</v>
      </c>
      <c r="J14" t="s">
        <v>40</v>
      </c>
      <c r="L14">
        <v>738471</v>
      </c>
      <c r="M14" t="s">
        <v>41</v>
      </c>
      <c r="R14" t="s">
        <v>986</v>
      </c>
      <c r="S14" t="s">
        <v>792</v>
      </c>
      <c r="U14" t="s">
        <v>793</v>
      </c>
      <c r="V14" t="s">
        <v>43</v>
      </c>
      <c r="W14" s="6">
        <v>32848</v>
      </c>
      <c r="Y14" t="s">
        <v>988</v>
      </c>
      <c r="AD14" s="6" t="s">
        <v>428</v>
      </c>
      <c r="AE14" t="s">
        <v>696</v>
      </c>
      <c r="AF14">
        <v>0</v>
      </c>
      <c r="AG14" s="3">
        <f>VLOOKUP(D14,lookup!$A$2:$B$57,2,1)</f>
        <v>19</v>
      </c>
      <c r="AH14" t="s">
        <v>109</v>
      </c>
      <c r="AI14" t="s">
        <v>428</v>
      </c>
      <c r="AJ14" t="s">
        <v>428</v>
      </c>
    </row>
    <row r="15" spans="1:36" x14ac:dyDescent="0.2">
      <c r="A15" t="s">
        <v>110</v>
      </c>
      <c r="B15" t="s">
        <v>37</v>
      </c>
      <c r="C15" t="s">
        <v>81</v>
      </c>
      <c r="D15" t="s">
        <v>111</v>
      </c>
      <c r="E15" t="s">
        <v>698</v>
      </c>
      <c r="G15">
        <v>98114935</v>
      </c>
      <c r="J15" t="s">
        <v>40</v>
      </c>
      <c r="L15">
        <v>738471</v>
      </c>
      <c r="M15" t="s">
        <v>41</v>
      </c>
      <c r="R15" t="s">
        <v>539</v>
      </c>
      <c r="S15" t="s">
        <v>794</v>
      </c>
      <c r="U15" t="s">
        <v>795</v>
      </c>
      <c r="V15" t="s">
        <v>43</v>
      </c>
      <c r="W15" s="6">
        <v>34993</v>
      </c>
      <c r="AD15" s="6" t="s">
        <v>428</v>
      </c>
      <c r="AE15" t="s">
        <v>985</v>
      </c>
      <c r="AF15">
        <v>0</v>
      </c>
      <c r="AG15" s="3">
        <f>VLOOKUP(D15,lookup!$A$2:$B$57,2,1)</f>
        <v>18</v>
      </c>
      <c r="AH15" t="s">
        <v>112</v>
      </c>
      <c r="AI15" t="s">
        <v>428</v>
      </c>
      <c r="AJ15" t="s">
        <v>428</v>
      </c>
    </row>
    <row r="16" spans="1:36" x14ac:dyDescent="0.2">
      <c r="A16" t="s">
        <v>706</v>
      </c>
      <c r="B16" t="s">
        <v>37</v>
      </c>
      <c r="C16" t="s">
        <v>223</v>
      </c>
      <c r="D16" t="s">
        <v>796</v>
      </c>
      <c r="E16" t="s">
        <v>708</v>
      </c>
      <c r="G16">
        <v>83635935</v>
      </c>
      <c r="J16" t="s">
        <v>797</v>
      </c>
      <c r="L16">
        <v>792411</v>
      </c>
      <c r="M16" t="s">
        <v>41</v>
      </c>
      <c r="R16" t="s">
        <v>540</v>
      </c>
      <c r="S16" t="s">
        <v>798</v>
      </c>
      <c r="V16" t="s">
        <v>43</v>
      </c>
      <c r="W16" s="6">
        <v>38578</v>
      </c>
      <c r="Y16" t="s">
        <v>991</v>
      </c>
      <c r="AD16" s="6" t="s">
        <v>428</v>
      </c>
      <c r="AE16" t="s">
        <v>985</v>
      </c>
      <c r="AF16">
        <v>0</v>
      </c>
      <c r="AG16" s="3">
        <f>VLOOKUP(D16,lookup!$A$2:$B$57,2,1)</f>
        <v>0</v>
      </c>
      <c r="AH16" t="s">
        <v>974</v>
      </c>
      <c r="AI16" t="s">
        <v>428</v>
      </c>
      <c r="AJ16" t="s">
        <v>428</v>
      </c>
    </row>
    <row r="17" spans="1:36" x14ac:dyDescent="0.2">
      <c r="A17" t="s">
        <v>137</v>
      </c>
      <c r="B17" t="s">
        <v>37</v>
      </c>
      <c r="C17" t="s">
        <v>54</v>
      </c>
      <c r="D17" t="s">
        <v>55</v>
      </c>
      <c r="E17" t="s">
        <v>686</v>
      </c>
      <c r="G17">
        <v>81531309</v>
      </c>
      <c r="J17" t="s">
        <v>40</v>
      </c>
      <c r="L17">
        <v>738471</v>
      </c>
      <c r="M17" t="s">
        <v>41</v>
      </c>
      <c r="R17" t="s">
        <v>986</v>
      </c>
      <c r="S17" t="s">
        <v>801</v>
      </c>
      <c r="U17" t="s">
        <v>802</v>
      </c>
      <c r="V17" t="s">
        <v>43</v>
      </c>
      <c r="W17" s="6">
        <v>31040</v>
      </c>
      <c r="Y17" t="s">
        <v>988</v>
      </c>
      <c r="AD17" s="6" t="s">
        <v>428</v>
      </c>
      <c r="AE17" t="s">
        <v>696</v>
      </c>
      <c r="AF17">
        <v>0</v>
      </c>
      <c r="AG17" s="3">
        <f>VLOOKUP(D17,lookup!$A$2:$B$57,2,1)</f>
        <v>22</v>
      </c>
      <c r="AH17" t="s">
        <v>138</v>
      </c>
      <c r="AI17" t="s">
        <v>428</v>
      </c>
      <c r="AJ17" t="s">
        <v>428</v>
      </c>
    </row>
    <row r="18" spans="1:36" x14ac:dyDescent="0.2">
      <c r="A18" t="s">
        <v>708</v>
      </c>
      <c r="B18" t="s">
        <v>37</v>
      </c>
      <c r="C18" t="s">
        <v>223</v>
      </c>
      <c r="D18" t="s">
        <v>262</v>
      </c>
      <c r="E18" t="s">
        <v>691</v>
      </c>
      <c r="F18" t="s">
        <v>263</v>
      </c>
      <c r="G18">
        <v>96683870</v>
      </c>
      <c r="J18" t="s">
        <v>264</v>
      </c>
      <c r="L18">
        <v>730658</v>
      </c>
      <c r="M18" t="s">
        <v>41</v>
      </c>
      <c r="R18" t="s">
        <v>540</v>
      </c>
      <c r="S18" t="s">
        <v>803</v>
      </c>
      <c r="U18" t="s">
        <v>804</v>
      </c>
      <c r="V18" t="s">
        <v>43</v>
      </c>
      <c r="W18" s="6">
        <v>25985</v>
      </c>
      <c r="AD18" s="6" t="s">
        <v>428</v>
      </c>
      <c r="AE18" t="s">
        <v>696</v>
      </c>
      <c r="AF18">
        <v>0</v>
      </c>
      <c r="AG18" s="3">
        <f>VLOOKUP(D18,lookup!$A$2:$B$57,2,1)</f>
        <v>0</v>
      </c>
      <c r="AH18" t="s">
        <v>265</v>
      </c>
      <c r="AI18" t="s">
        <v>428</v>
      </c>
      <c r="AJ18" t="s">
        <v>428</v>
      </c>
    </row>
    <row r="19" spans="1:36" x14ac:dyDescent="0.2">
      <c r="A19" t="s">
        <v>709</v>
      </c>
      <c r="B19" t="s">
        <v>37</v>
      </c>
      <c r="C19" t="s">
        <v>75</v>
      </c>
      <c r="D19" t="s">
        <v>113</v>
      </c>
      <c r="E19" t="s">
        <v>719</v>
      </c>
      <c r="F19" t="s">
        <v>114</v>
      </c>
      <c r="G19">
        <v>90049288</v>
      </c>
      <c r="J19" t="s">
        <v>115</v>
      </c>
      <c r="L19">
        <v>752504</v>
      </c>
      <c r="M19" t="s">
        <v>41</v>
      </c>
      <c r="R19" t="s">
        <v>540</v>
      </c>
      <c r="S19" t="s">
        <v>807</v>
      </c>
      <c r="U19" t="s">
        <v>808</v>
      </c>
      <c r="V19" t="s">
        <v>51</v>
      </c>
      <c r="W19" s="6">
        <v>27202</v>
      </c>
      <c r="AD19" s="6" t="s">
        <v>428</v>
      </c>
      <c r="AE19" t="s">
        <v>696</v>
      </c>
      <c r="AF19">
        <v>0</v>
      </c>
      <c r="AG19" s="3">
        <f>VLOOKUP(D19,lookup!$A$2:$B$57,2,1)</f>
        <v>0</v>
      </c>
      <c r="AH19" t="s">
        <v>116</v>
      </c>
      <c r="AI19" t="s">
        <v>117</v>
      </c>
      <c r="AJ19" t="s">
        <v>118</v>
      </c>
    </row>
    <row r="20" spans="1:36" x14ac:dyDescent="0.2">
      <c r="A20" t="s">
        <v>145</v>
      </c>
      <c r="B20" t="s">
        <v>37</v>
      </c>
      <c r="C20" t="s">
        <v>81</v>
      </c>
      <c r="D20" t="s">
        <v>146</v>
      </c>
      <c r="E20" t="s">
        <v>698</v>
      </c>
      <c r="G20">
        <v>80234623</v>
      </c>
      <c r="J20" t="s">
        <v>40</v>
      </c>
      <c r="L20">
        <v>738471</v>
      </c>
      <c r="M20" t="s">
        <v>41</v>
      </c>
      <c r="R20" t="s">
        <v>986</v>
      </c>
      <c r="S20" t="s">
        <v>809</v>
      </c>
      <c r="U20" t="s">
        <v>810</v>
      </c>
      <c r="V20" t="s">
        <v>43</v>
      </c>
      <c r="W20" s="6">
        <v>35953</v>
      </c>
      <c r="AD20" s="6" t="s">
        <v>428</v>
      </c>
      <c r="AE20" t="s">
        <v>985</v>
      </c>
      <c r="AF20">
        <v>0</v>
      </c>
      <c r="AG20" s="3">
        <f>VLOOKUP(D20,lookup!$A$2:$B$57,2,1)</f>
        <v>24</v>
      </c>
      <c r="AH20" t="s">
        <v>147</v>
      </c>
      <c r="AI20" t="s">
        <v>428</v>
      </c>
      <c r="AJ20" t="s">
        <v>428</v>
      </c>
    </row>
    <row r="21" spans="1:36" x14ac:dyDescent="0.2">
      <c r="A21" t="s">
        <v>148</v>
      </c>
      <c r="B21" t="s">
        <v>37</v>
      </c>
      <c r="C21" t="s">
        <v>149</v>
      </c>
      <c r="D21" t="s">
        <v>150</v>
      </c>
      <c r="E21" t="s">
        <v>736</v>
      </c>
      <c r="G21">
        <v>82630998</v>
      </c>
      <c r="J21" t="s">
        <v>40</v>
      </c>
      <c r="L21">
        <v>738471</v>
      </c>
      <c r="M21" t="s">
        <v>41</v>
      </c>
      <c r="R21" t="s">
        <v>539</v>
      </c>
      <c r="S21" t="s">
        <v>811</v>
      </c>
      <c r="U21" t="s">
        <v>812</v>
      </c>
      <c r="V21" t="s">
        <v>43</v>
      </c>
      <c r="W21" s="6">
        <v>30892</v>
      </c>
      <c r="AD21" s="6" t="s">
        <v>428</v>
      </c>
      <c r="AE21" t="s">
        <v>696</v>
      </c>
      <c r="AF21">
        <v>0</v>
      </c>
      <c r="AG21" s="3">
        <f>VLOOKUP(D21,lookup!$A$2:$B$57,2,1)</f>
        <v>19</v>
      </c>
      <c r="AH21" t="s">
        <v>151</v>
      </c>
      <c r="AI21" t="s">
        <v>428</v>
      </c>
      <c r="AJ21" t="s">
        <v>428</v>
      </c>
    </row>
    <row r="22" spans="1:36" x14ac:dyDescent="0.2">
      <c r="A22" t="s">
        <v>153</v>
      </c>
      <c r="B22" t="s">
        <v>37</v>
      </c>
      <c r="C22" t="s">
        <v>38</v>
      </c>
      <c r="D22" t="s">
        <v>154</v>
      </c>
      <c r="E22" t="s">
        <v>739</v>
      </c>
      <c r="G22">
        <v>93909915</v>
      </c>
      <c r="J22" t="s">
        <v>40</v>
      </c>
      <c r="L22">
        <v>738471</v>
      </c>
      <c r="M22" t="s">
        <v>41</v>
      </c>
      <c r="R22" t="s">
        <v>758</v>
      </c>
      <c r="S22" t="s">
        <v>813</v>
      </c>
      <c r="U22" t="s">
        <v>814</v>
      </c>
      <c r="V22" t="s">
        <v>43</v>
      </c>
      <c r="W22" s="6">
        <v>33703</v>
      </c>
      <c r="Y22" t="s">
        <v>990</v>
      </c>
      <c r="AD22" s="6" t="s">
        <v>428</v>
      </c>
      <c r="AE22" t="s">
        <v>985</v>
      </c>
      <c r="AF22">
        <v>0</v>
      </c>
      <c r="AG22" s="3">
        <f>VLOOKUP(D22,lookup!$A$2:$B$57,2,1)</f>
        <v>21</v>
      </c>
      <c r="AH22" t="s">
        <v>155</v>
      </c>
      <c r="AI22" t="s">
        <v>428</v>
      </c>
      <c r="AJ22" t="s">
        <v>428</v>
      </c>
    </row>
    <row r="23" spans="1:36" x14ac:dyDescent="0.2">
      <c r="A23" t="s">
        <v>710</v>
      </c>
      <c r="B23" t="s">
        <v>37</v>
      </c>
      <c r="C23" t="s">
        <v>123</v>
      </c>
      <c r="D23" t="s">
        <v>156</v>
      </c>
      <c r="E23" t="s">
        <v>728</v>
      </c>
      <c r="F23" t="s">
        <v>157</v>
      </c>
      <c r="G23">
        <v>92320675</v>
      </c>
      <c r="J23" t="s">
        <v>40</v>
      </c>
      <c r="L23">
        <v>738471</v>
      </c>
      <c r="M23" t="s">
        <v>41</v>
      </c>
      <c r="R23" t="s">
        <v>539</v>
      </c>
      <c r="S23" t="s">
        <v>815</v>
      </c>
      <c r="U23" t="s">
        <v>816</v>
      </c>
      <c r="V23" t="s">
        <v>51</v>
      </c>
      <c r="W23" s="6">
        <v>31076</v>
      </c>
      <c r="AD23" s="6" t="s">
        <v>428</v>
      </c>
      <c r="AE23" t="s">
        <v>678</v>
      </c>
      <c r="AF23">
        <v>0</v>
      </c>
      <c r="AG23" s="3">
        <f>VLOOKUP(D23,lookup!$A$2:$B$57,2,1)</f>
        <v>0</v>
      </c>
      <c r="AH23" t="s">
        <v>158</v>
      </c>
      <c r="AI23" t="s">
        <v>159</v>
      </c>
      <c r="AJ23" t="s">
        <v>160</v>
      </c>
    </row>
    <row r="24" spans="1:36" x14ac:dyDescent="0.2">
      <c r="A24" t="s">
        <v>711</v>
      </c>
      <c r="B24" t="s">
        <v>37</v>
      </c>
      <c r="C24" t="s">
        <v>48</v>
      </c>
      <c r="D24" t="s">
        <v>161</v>
      </c>
      <c r="E24" t="s">
        <v>744</v>
      </c>
      <c r="F24" t="s">
        <v>162</v>
      </c>
      <c r="G24" s="7" t="s">
        <v>982</v>
      </c>
      <c r="J24" t="s">
        <v>40</v>
      </c>
      <c r="L24">
        <v>738471</v>
      </c>
      <c r="M24" t="s">
        <v>41</v>
      </c>
      <c r="R24" t="s">
        <v>60</v>
      </c>
      <c r="U24" t="s">
        <v>817</v>
      </c>
      <c r="V24" t="s">
        <v>43</v>
      </c>
      <c r="W24" s="6">
        <v>30346</v>
      </c>
      <c r="AD24" s="6" t="s">
        <v>428</v>
      </c>
      <c r="AE24" t="s">
        <v>696</v>
      </c>
      <c r="AF24">
        <v>0</v>
      </c>
      <c r="AG24" s="3">
        <f>VLOOKUP(D24,lookup!$A$2:$B$57,2,1)</f>
        <v>0</v>
      </c>
      <c r="AH24" t="s">
        <v>163</v>
      </c>
      <c r="AI24" t="s">
        <v>428</v>
      </c>
      <c r="AJ24" t="s">
        <v>428</v>
      </c>
    </row>
    <row r="25" spans="1:36" x14ac:dyDescent="0.2">
      <c r="A25" t="s">
        <v>441</v>
      </c>
      <c r="B25" t="s">
        <v>37</v>
      </c>
      <c r="C25" t="s">
        <v>132</v>
      </c>
      <c r="D25" t="s">
        <v>188</v>
      </c>
      <c r="E25" t="s">
        <v>433</v>
      </c>
      <c r="F25" t="s">
        <v>189</v>
      </c>
      <c r="G25">
        <v>97547618</v>
      </c>
      <c r="J25" t="s">
        <v>190</v>
      </c>
      <c r="L25">
        <v>680552</v>
      </c>
      <c r="M25" t="s">
        <v>41</v>
      </c>
      <c r="R25" t="s">
        <v>540</v>
      </c>
      <c r="S25" t="s">
        <v>567</v>
      </c>
      <c r="U25" t="s">
        <v>825</v>
      </c>
      <c r="V25" t="s">
        <v>51</v>
      </c>
      <c r="W25" s="6">
        <v>26089</v>
      </c>
      <c r="AD25" s="6" t="s">
        <v>428</v>
      </c>
      <c r="AE25" t="s">
        <v>696</v>
      </c>
      <c r="AF25">
        <v>0</v>
      </c>
      <c r="AG25" s="3">
        <f>VLOOKUP(D25,lookup!$A$2:$B$57,2,1)</f>
        <v>0</v>
      </c>
      <c r="AH25" t="s">
        <v>191</v>
      </c>
      <c r="AI25" t="s">
        <v>192</v>
      </c>
      <c r="AJ25" t="s">
        <v>193</v>
      </c>
    </row>
    <row r="26" spans="1:36" x14ac:dyDescent="0.2">
      <c r="A26" t="s">
        <v>712</v>
      </c>
      <c r="B26" t="s">
        <v>37</v>
      </c>
      <c r="C26" t="s">
        <v>81</v>
      </c>
      <c r="D26" t="s">
        <v>152</v>
      </c>
      <c r="E26" t="s">
        <v>698</v>
      </c>
      <c r="G26" s="7" t="s">
        <v>983</v>
      </c>
      <c r="J26" t="s">
        <v>40</v>
      </c>
      <c r="L26">
        <v>738471</v>
      </c>
      <c r="M26" t="s">
        <v>41</v>
      </c>
      <c r="R26" t="s">
        <v>539</v>
      </c>
      <c r="S26" t="s">
        <v>826</v>
      </c>
      <c r="U26" t="s">
        <v>827</v>
      </c>
      <c r="V26" t="s">
        <v>43</v>
      </c>
      <c r="W26" s="6">
        <v>37073</v>
      </c>
      <c r="Y26" t="s">
        <v>989</v>
      </c>
      <c r="AD26" s="6" t="s">
        <v>428</v>
      </c>
      <c r="AE26" t="s">
        <v>985</v>
      </c>
      <c r="AF26">
        <v>0</v>
      </c>
      <c r="AG26" s="3">
        <f>VLOOKUP(D26,lookup!$A$2:$B$57,2,1)</f>
        <v>18</v>
      </c>
      <c r="AH26" t="s">
        <v>975</v>
      </c>
      <c r="AI26" t="s">
        <v>428</v>
      </c>
      <c r="AJ26" t="s">
        <v>428</v>
      </c>
    </row>
    <row r="27" spans="1:36" x14ac:dyDescent="0.2">
      <c r="A27" t="s">
        <v>194</v>
      </c>
      <c r="B27" t="s">
        <v>37</v>
      </c>
      <c r="C27" t="s">
        <v>81</v>
      </c>
      <c r="D27" t="s">
        <v>195</v>
      </c>
      <c r="E27" t="s">
        <v>698</v>
      </c>
      <c r="G27">
        <v>97340944</v>
      </c>
      <c r="J27" t="s">
        <v>196</v>
      </c>
      <c r="L27">
        <v>730401</v>
      </c>
      <c r="M27" t="s">
        <v>41</v>
      </c>
      <c r="R27" t="s">
        <v>539</v>
      </c>
      <c r="S27" t="s">
        <v>828</v>
      </c>
      <c r="U27" t="s">
        <v>829</v>
      </c>
      <c r="V27" t="s">
        <v>51</v>
      </c>
      <c r="W27" s="6">
        <v>22230</v>
      </c>
      <c r="AD27" s="6" t="s">
        <v>428</v>
      </c>
      <c r="AE27" t="s">
        <v>985</v>
      </c>
      <c r="AF27">
        <v>0</v>
      </c>
      <c r="AG27" s="3">
        <f>VLOOKUP(D27,lookup!$A$2:$B$57,2,1)</f>
        <v>29</v>
      </c>
      <c r="AH27" t="s">
        <v>197</v>
      </c>
      <c r="AI27" t="s">
        <v>428</v>
      </c>
      <c r="AJ27" t="s">
        <v>428</v>
      </c>
    </row>
    <row r="28" spans="1:36" x14ac:dyDescent="0.2">
      <c r="A28" t="s">
        <v>713</v>
      </c>
      <c r="B28" t="s">
        <v>37</v>
      </c>
      <c r="C28" t="s">
        <v>68</v>
      </c>
      <c r="D28" t="s">
        <v>69</v>
      </c>
      <c r="E28" t="s">
        <v>726</v>
      </c>
      <c r="F28" t="s">
        <v>70</v>
      </c>
      <c r="G28">
        <v>90262309</v>
      </c>
      <c r="J28" t="s">
        <v>71</v>
      </c>
      <c r="L28">
        <v>764424</v>
      </c>
      <c r="M28" t="s">
        <v>41</v>
      </c>
      <c r="R28" t="s">
        <v>540</v>
      </c>
      <c r="S28" t="s">
        <v>830</v>
      </c>
      <c r="U28" t="s">
        <v>831</v>
      </c>
      <c r="V28" t="s">
        <v>43</v>
      </c>
      <c r="W28" s="6">
        <v>26201</v>
      </c>
      <c r="AD28" s="6" t="s">
        <v>428</v>
      </c>
      <c r="AE28" t="s">
        <v>696</v>
      </c>
      <c r="AF28">
        <v>0</v>
      </c>
      <c r="AG28" s="3">
        <f>VLOOKUP(D28,lookup!$A$2:$B$57,2,1)</f>
        <v>32</v>
      </c>
      <c r="AH28" t="s">
        <v>72</v>
      </c>
      <c r="AI28" t="s">
        <v>73</v>
      </c>
      <c r="AJ28" t="s">
        <v>74</v>
      </c>
    </row>
    <row r="29" spans="1:36" x14ac:dyDescent="0.2">
      <c r="A29" t="s">
        <v>714</v>
      </c>
      <c r="B29" t="s">
        <v>37</v>
      </c>
      <c r="C29" t="s">
        <v>54</v>
      </c>
      <c r="D29" t="s">
        <v>339</v>
      </c>
      <c r="E29" t="s">
        <v>686</v>
      </c>
      <c r="F29" t="s">
        <v>340</v>
      </c>
      <c r="G29">
        <v>81397758</v>
      </c>
      <c r="J29" t="s">
        <v>341</v>
      </c>
      <c r="L29">
        <v>760218</v>
      </c>
      <c r="M29" t="s">
        <v>41</v>
      </c>
      <c r="R29" t="s">
        <v>540</v>
      </c>
      <c r="S29" t="s">
        <v>832</v>
      </c>
      <c r="U29" t="s">
        <v>833</v>
      </c>
      <c r="V29" t="s">
        <v>51</v>
      </c>
      <c r="W29" s="6">
        <v>34558</v>
      </c>
      <c r="Y29" t="s">
        <v>991</v>
      </c>
      <c r="AD29" s="6" t="s">
        <v>428</v>
      </c>
      <c r="AE29" t="s">
        <v>985</v>
      </c>
      <c r="AF29">
        <v>0</v>
      </c>
      <c r="AG29" s="3">
        <f>VLOOKUP(D29,lookup!$A$2:$B$57,2,1)</f>
        <v>0</v>
      </c>
      <c r="AH29" t="s">
        <v>342</v>
      </c>
      <c r="AI29" t="s">
        <v>428</v>
      </c>
      <c r="AJ29" t="s">
        <v>428</v>
      </c>
    </row>
    <row r="30" spans="1:36" x14ac:dyDescent="0.2">
      <c r="A30" t="s">
        <v>715</v>
      </c>
      <c r="B30" t="s">
        <v>37</v>
      </c>
      <c r="C30" t="s">
        <v>123</v>
      </c>
      <c r="D30" t="s">
        <v>834</v>
      </c>
      <c r="E30" t="s">
        <v>728</v>
      </c>
      <c r="F30" t="s">
        <v>217</v>
      </c>
      <c r="G30">
        <v>86961357</v>
      </c>
      <c r="J30" t="s">
        <v>40</v>
      </c>
      <c r="L30">
        <v>738471</v>
      </c>
      <c r="M30" t="s">
        <v>41</v>
      </c>
      <c r="R30" t="s">
        <v>539</v>
      </c>
      <c r="S30" t="s">
        <v>835</v>
      </c>
      <c r="U30" t="s">
        <v>836</v>
      </c>
      <c r="V30" t="s">
        <v>51</v>
      </c>
      <c r="W30" s="6">
        <v>35727</v>
      </c>
      <c r="Y30" t="s">
        <v>989</v>
      </c>
      <c r="AD30" s="6" t="s">
        <v>428</v>
      </c>
      <c r="AE30" t="s">
        <v>696</v>
      </c>
      <c r="AF30">
        <v>0</v>
      </c>
      <c r="AG30" s="3">
        <f>VLOOKUP(D30,lookup!$A$2:$B$57,2,1)</f>
        <v>0</v>
      </c>
      <c r="AH30" t="s">
        <v>218</v>
      </c>
      <c r="AI30" t="s">
        <v>428</v>
      </c>
      <c r="AJ30" t="s">
        <v>428</v>
      </c>
    </row>
    <row r="31" spans="1:36" x14ac:dyDescent="0.2">
      <c r="A31" t="s">
        <v>716</v>
      </c>
      <c r="B31" t="s">
        <v>37</v>
      </c>
      <c r="C31" t="s">
        <v>48</v>
      </c>
      <c r="D31" t="s">
        <v>258</v>
      </c>
      <c r="E31" t="s">
        <v>744</v>
      </c>
      <c r="F31" t="s">
        <v>259</v>
      </c>
      <c r="G31">
        <v>92373618</v>
      </c>
      <c r="J31" t="s">
        <v>260</v>
      </c>
      <c r="L31">
        <v>90102</v>
      </c>
      <c r="M31" t="s">
        <v>41</v>
      </c>
      <c r="R31" t="s">
        <v>540</v>
      </c>
      <c r="S31" t="s">
        <v>837</v>
      </c>
      <c r="U31" t="s">
        <v>838</v>
      </c>
      <c r="V31" t="s">
        <v>43</v>
      </c>
      <c r="W31" s="6">
        <v>33426</v>
      </c>
      <c r="Y31" t="s">
        <v>991</v>
      </c>
      <c r="AD31" s="6" t="s">
        <v>428</v>
      </c>
      <c r="AE31" t="s">
        <v>678</v>
      </c>
      <c r="AF31">
        <v>0</v>
      </c>
      <c r="AG31" s="3">
        <f>VLOOKUP(D31,lookup!$A$2:$B$57,2,1)</f>
        <v>0</v>
      </c>
      <c r="AH31" t="s">
        <v>261</v>
      </c>
      <c r="AI31" t="s">
        <v>428</v>
      </c>
      <c r="AJ31" t="s">
        <v>428</v>
      </c>
    </row>
    <row r="32" spans="1:36" x14ac:dyDescent="0.2">
      <c r="A32" t="s">
        <v>717</v>
      </c>
      <c r="B32" t="s">
        <v>37</v>
      </c>
      <c r="C32" t="s">
        <v>223</v>
      </c>
      <c r="D32" t="s">
        <v>224</v>
      </c>
      <c r="E32" t="s">
        <v>708</v>
      </c>
      <c r="F32" t="s">
        <v>225</v>
      </c>
      <c r="G32">
        <v>91345774</v>
      </c>
      <c r="J32" t="s">
        <v>226</v>
      </c>
      <c r="L32">
        <v>310214</v>
      </c>
      <c r="M32" t="s">
        <v>41</v>
      </c>
      <c r="R32" t="s">
        <v>539</v>
      </c>
      <c r="S32" t="s">
        <v>841</v>
      </c>
      <c r="U32" t="s">
        <v>842</v>
      </c>
      <c r="V32" t="s">
        <v>43</v>
      </c>
      <c r="W32" s="6">
        <v>34700</v>
      </c>
      <c r="Y32" t="s">
        <v>989</v>
      </c>
      <c r="AD32" s="6" t="s">
        <v>428</v>
      </c>
      <c r="AE32" t="s">
        <v>985</v>
      </c>
      <c r="AF32">
        <v>0</v>
      </c>
      <c r="AG32" s="3">
        <f>VLOOKUP(D32,lookup!$A$2:$B$57,2,1)</f>
        <v>36</v>
      </c>
      <c r="AH32" t="s">
        <v>227</v>
      </c>
      <c r="AI32" t="s">
        <v>428</v>
      </c>
      <c r="AJ32" t="s">
        <v>428</v>
      </c>
    </row>
    <row r="33" spans="1:36" x14ac:dyDescent="0.2">
      <c r="A33" t="s">
        <v>718</v>
      </c>
      <c r="B33" t="s">
        <v>37</v>
      </c>
      <c r="C33" t="s">
        <v>54</v>
      </c>
      <c r="D33" t="s">
        <v>171</v>
      </c>
      <c r="E33" t="s">
        <v>686</v>
      </c>
      <c r="F33" t="s">
        <v>172</v>
      </c>
      <c r="G33">
        <v>94370137</v>
      </c>
      <c r="J33" t="s">
        <v>173</v>
      </c>
      <c r="L33">
        <v>760237</v>
      </c>
      <c r="M33" t="s">
        <v>41</v>
      </c>
      <c r="R33" t="s">
        <v>540</v>
      </c>
      <c r="S33" t="s">
        <v>845</v>
      </c>
      <c r="U33" t="s">
        <v>846</v>
      </c>
      <c r="V33" t="s">
        <v>51</v>
      </c>
      <c r="W33" s="6">
        <v>30052</v>
      </c>
      <c r="AD33" s="6" t="s">
        <v>428</v>
      </c>
      <c r="AE33" t="s">
        <v>696</v>
      </c>
      <c r="AF33">
        <v>0</v>
      </c>
      <c r="AG33" s="3">
        <f>VLOOKUP(D33,lookup!$A$2:$B$57,2,1)</f>
        <v>0</v>
      </c>
      <c r="AH33" t="s">
        <v>174</v>
      </c>
      <c r="AI33" t="s">
        <v>175</v>
      </c>
      <c r="AJ33" t="s">
        <v>176</v>
      </c>
    </row>
    <row r="34" spans="1:36" x14ac:dyDescent="0.2">
      <c r="A34" t="s">
        <v>719</v>
      </c>
      <c r="B34" t="s">
        <v>37</v>
      </c>
      <c r="C34" t="s">
        <v>75</v>
      </c>
      <c r="D34" t="s">
        <v>232</v>
      </c>
      <c r="E34" t="s">
        <v>691</v>
      </c>
      <c r="F34" t="s">
        <v>233</v>
      </c>
      <c r="G34">
        <v>98270680</v>
      </c>
      <c r="J34" t="s">
        <v>234</v>
      </c>
      <c r="L34">
        <v>759419</v>
      </c>
      <c r="M34" t="s">
        <v>41</v>
      </c>
      <c r="R34" t="s">
        <v>540</v>
      </c>
      <c r="S34" t="s">
        <v>847</v>
      </c>
      <c r="U34" t="s">
        <v>848</v>
      </c>
      <c r="V34" t="s">
        <v>51</v>
      </c>
      <c r="W34" s="6">
        <v>25611</v>
      </c>
      <c r="AD34" s="6" t="s">
        <v>428</v>
      </c>
      <c r="AE34" t="s">
        <v>696</v>
      </c>
      <c r="AF34">
        <v>0</v>
      </c>
      <c r="AG34" s="3">
        <f>VLOOKUP(D34,lookup!$A$2:$B$57,2,1)</f>
        <v>0</v>
      </c>
      <c r="AH34" t="s">
        <v>235</v>
      </c>
      <c r="AI34" t="s">
        <v>236</v>
      </c>
      <c r="AJ34" t="s">
        <v>237</v>
      </c>
    </row>
    <row r="35" spans="1:36" x14ac:dyDescent="0.2">
      <c r="A35" t="s">
        <v>691</v>
      </c>
      <c r="B35" t="s">
        <v>37</v>
      </c>
      <c r="C35" t="s">
        <v>209</v>
      </c>
      <c r="D35" t="s">
        <v>210</v>
      </c>
      <c r="E35" t="s">
        <v>719</v>
      </c>
      <c r="F35" t="s">
        <v>211</v>
      </c>
      <c r="G35">
        <v>96173941</v>
      </c>
      <c r="J35" t="s">
        <v>212</v>
      </c>
      <c r="L35">
        <v>769778</v>
      </c>
      <c r="M35" t="s">
        <v>41</v>
      </c>
      <c r="R35" t="s">
        <v>540</v>
      </c>
      <c r="S35" t="s">
        <v>851</v>
      </c>
      <c r="U35" t="s">
        <v>577</v>
      </c>
      <c r="V35" t="s">
        <v>43</v>
      </c>
      <c r="W35" s="6">
        <v>26419</v>
      </c>
      <c r="AD35" s="6" t="s">
        <v>428</v>
      </c>
      <c r="AE35" t="s">
        <v>696</v>
      </c>
      <c r="AF35">
        <v>0</v>
      </c>
      <c r="AG35" s="3">
        <f>VLOOKUP(D35,lookup!$A$2:$B$57,2,1)</f>
        <v>0</v>
      </c>
      <c r="AH35" t="s">
        <v>213</v>
      </c>
      <c r="AI35" t="s">
        <v>214</v>
      </c>
      <c r="AJ35" t="s">
        <v>215</v>
      </c>
    </row>
    <row r="36" spans="1:36" x14ac:dyDescent="0.2">
      <c r="A36" t="s">
        <v>721</v>
      </c>
      <c r="B36" t="s">
        <v>37</v>
      </c>
      <c r="C36" t="s">
        <v>81</v>
      </c>
      <c r="D36" t="s">
        <v>254</v>
      </c>
      <c r="E36" t="s">
        <v>691</v>
      </c>
      <c r="F36" t="s">
        <v>255</v>
      </c>
      <c r="G36">
        <v>97390092</v>
      </c>
      <c r="J36" t="s">
        <v>256</v>
      </c>
      <c r="L36">
        <v>769725</v>
      </c>
      <c r="M36" t="s">
        <v>41</v>
      </c>
      <c r="R36" t="s">
        <v>540</v>
      </c>
      <c r="S36" t="s">
        <v>852</v>
      </c>
      <c r="U36" t="s">
        <v>580</v>
      </c>
      <c r="V36" t="s">
        <v>43</v>
      </c>
      <c r="W36" s="6">
        <v>26419</v>
      </c>
      <c r="AD36" s="6" t="s">
        <v>428</v>
      </c>
      <c r="AE36" t="s">
        <v>696</v>
      </c>
      <c r="AF36">
        <v>0</v>
      </c>
      <c r="AG36" s="3">
        <f>VLOOKUP(D36,lookup!$A$2:$B$57,2,1)</f>
        <v>0</v>
      </c>
      <c r="AH36" t="s">
        <v>257</v>
      </c>
      <c r="AI36" t="s">
        <v>428</v>
      </c>
      <c r="AJ36" t="s">
        <v>428</v>
      </c>
    </row>
    <row r="37" spans="1:36" x14ac:dyDescent="0.2">
      <c r="A37" t="s">
        <v>722</v>
      </c>
      <c r="B37" t="s">
        <v>37</v>
      </c>
      <c r="C37" t="s">
        <v>209</v>
      </c>
      <c r="D37" t="s">
        <v>853</v>
      </c>
      <c r="E37" t="s">
        <v>691</v>
      </c>
      <c r="F37" t="s">
        <v>854</v>
      </c>
      <c r="G37">
        <v>97348586</v>
      </c>
      <c r="J37" t="s">
        <v>855</v>
      </c>
      <c r="L37">
        <v>759283</v>
      </c>
      <c r="M37" t="s">
        <v>41</v>
      </c>
      <c r="R37" t="s">
        <v>540</v>
      </c>
      <c r="S37" t="s">
        <v>856</v>
      </c>
      <c r="U37" t="s">
        <v>857</v>
      </c>
      <c r="V37" t="s">
        <v>43</v>
      </c>
      <c r="W37" s="6">
        <v>25964</v>
      </c>
      <c r="Y37" t="s">
        <v>991</v>
      </c>
      <c r="AD37" s="6" t="s">
        <v>428</v>
      </c>
      <c r="AE37" t="s">
        <v>696</v>
      </c>
      <c r="AF37">
        <v>0</v>
      </c>
      <c r="AG37" s="3">
        <f>VLOOKUP(D37,lookup!$A$2:$B$57,2,1)</f>
        <v>36</v>
      </c>
      <c r="AH37" t="s">
        <v>977</v>
      </c>
      <c r="AI37" t="s">
        <v>428</v>
      </c>
      <c r="AJ37" t="s">
        <v>428</v>
      </c>
    </row>
    <row r="38" spans="1:36" x14ac:dyDescent="0.2">
      <c r="A38" t="s">
        <v>723</v>
      </c>
      <c r="B38" t="s">
        <v>37</v>
      </c>
      <c r="C38" t="s">
        <v>123</v>
      </c>
      <c r="D38" t="s">
        <v>216</v>
      </c>
      <c r="E38" t="s">
        <v>728</v>
      </c>
      <c r="F38" t="s">
        <v>238</v>
      </c>
      <c r="G38">
        <v>80643631</v>
      </c>
      <c r="J38" t="s">
        <v>40</v>
      </c>
      <c r="L38">
        <v>738471</v>
      </c>
      <c r="M38" t="s">
        <v>41</v>
      </c>
      <c r="R38" t="s">
        <v>539</v>
      </c>
      <c r="S38" t="s">
        <v>858</v>
      </c>
      <c r="U38" t="s">
        <v>859</v>
      </c>
      <c r="V38" t="s">
        <v>51</v>
      </c>
      <c r="W38" s="6">
        <v>35985</v>
      </c>
      <c r="AD38" s="6" t="s">
        <v>428</v>
      </c>
      <c r="AE38" t="s">
        <v>985</v>
      </c>
      <c r="AF38">
        <v>0</v>
      </c>
      <c r="AG38" s="3">
        <f>VLOOKUP(D38,lookup!$A$2:$B$57,2,1)</f>
        <v>0</v>
      </c>
      <c r="AH38" t="s">
        <v>239</v>
      </c>
      <c r="AI38" t="s">
        <v>428</v>
      </c>
      <c r="AJ38" t="s">
        <v>428</v>
      </c>
    </row>
    <row r="39" spans="1:36" x14ac:dyDescent="0.2">
      <c r="A39" t="s">
        <v>240</v>
      </c>
      <c r="B39" t="s">
        <v>37</v>
      </c>
      <c r="C39" t="s">
        <v>209</v>
      </c>
      <c r="D39" t="s">
        <v>210</v>
      </c>
      <c r="E39" t="s">
        <v>691</v>
      </c>
      <c r="G39">
        <v>96339400</v>
      </c>
      <c r="J39" t="s">
        <v>241</v>
      </c>
      <c r="L39">
        <v>759283</v>
      </c>
      <c r="M39" t="s">
        <v>41</v>
      </c>
      <c r="R39" t="s">
        <v>540</v>
      </c>
      <c r="S39" t="s">
        <v>860</v>
      </c>
      <c r="U39" t="s">
        <v>861</v>
      </c>
      <c r="V39" t="s">
        <v>43</v>
      </c>
      <c r="W39" s="6">
        <v>15883</v>
      </c>
      <c r="AD39" s="6" t="s">
        <v>428</v>
      </c>
      <c r="AE39" t="s">
        <v>696</v>
      </c>
      <c r="AF39">
        <v>0</v>
      </c>
      <c r="AG39" s="3">
        <f>VLOOKUP(D39,lookup!$A$2:$B$57,2,1)</f>
        <v>0</v>
      </c>
      <c r="AH39" t="s">
        <v>242</v>
      </c>
      <c r="AI39" t="s">
        <v>428</v>
      </c>
      <c r="AJ39" t="s">
        <v>428</v>
      </c>
    </row>
    <row r="40" spans="1:36" x14ac:dyDescent="0.2">
      <c r="A40" t="s">
        <v>243</v>
      </c>
      <c r="B40" t="s">
        <v>37</v>
      </c>
      <c r="C40" t="s">
        <v>81</v>
      </c>
      <c r="D40" t="s">
        <v>244</v>
      </c>
      <c r="E40" t="s">
        <v>698</v>
      </c>
      <c r="G40">
        <v>85558753</v>
      </c>
      <c r="J40" t="s">
        <v>40</v>
      </c>
      <c r="L40">
        <v>738471</v>
      </c>
      <c r="M40" t="s">
        <v>41</v>
      </c>
      <c r="R40" t="s">
        <v>986</v>
      </c>
      <c r="S40" t="s">
        <v>862</v>
      </c>
      <c r="U40" t="s">
        <v>863</v>
      </c>
      <c r="V40" t="s">
        <v>43</v>
      </c>
      <c r="W40" s="6">
        <v>27827</v>
      </c>
      <c r="AD40" s="6" t="s">
        <v>428</v>
      </c>
      <c r="AE40" t="s">
        <v>696</v>
      </c>
      <c r="AF40">
        <v>0</v>
      </c>
      <c r="AG40" s="3">
        <f>VLOOKUP(D40,lookup!$A$2:$B$57,2,1)</f>
        <v>24</v>
      </c>
      <c r="AH40" t="s">
        <v>245</v>
      </c>
      <c r="AI40" t="s">
        <v>428</v>
      </c>
      <c r="AJ40" t="s">
        <v>428</v>
      </c>
    </row>
    <row r="41" spans="1:36" x14ac:dyDescent="0.2">
      <c r="A41" t="s">
        <v>246</v>
      </c>
      <c r="B41" t="s">
        <v>37</v>
      </c>
      <c r="C41" t="s">
        <v>81</v>
      </c>
      <c r="D41" t="s">
        <v>111</v>
      </c>
      <c r="E41" t="s">
        <v>698</v>
      </c>
      <c r="G41">
        <v>82499828</v>
      </c>
      <c r="J41" t="s">
        <v>40</v>
      </c>
      <c r="L41">
        <v>738471</v>
      </c>
      <c r="M41" t="s">
        <v>41</v>
      </c>
      <c r="R41" t="s">
        <v>986</v>
      </c>
      <c r="S41" t="s">
        <v>864</v>
      </c>
      <c r="U41" t="s">
        <v>865</v>
      </c>
      <c r="V41" t="s">
        <v>43</v>
      </c>
      <c r="W41" s="6">
        <v>29446</v>
      </c>
      <c r="AD41" s="6" t="s">
        <v>428</v>
      </c>
      <c r="AE41" t="s">
        <v>696</v>
      </c>
      <c r="AF41">
        <v>0</v>
      </c>
      <c r="AG41" s="3">
        <f>VLOOKUP(D41,lookup!$A$2:$B$57,2,1)</f>
        <v>18</v>
      </c>
      <c r="AH41" t="s">
        <v>247</v>
      </c>
      <c r="AI41" t="s">
        <v>428</v>
      </c>
      <c r="AJ41" t="s">
        <v>428</v>
      </c>
    </row>
    <row r="42" spans="1:36" x14ac:dyDescent="0.2">
      <c r="A42" t="s">
        <v>724</v>
      </c>
      <c r="B42" t="s">
        <v>37</v>
      </c>
      <c r="C42" t="s">
        <v>81</v>
      </c>
      <c r="D42" t="s">
        <v>250</v>
      </c>
      <c r="E42" t="s">
        <v>721</v>
      </c>
      <c r="F42" t="s">
        <v>251</v>
      </c>
      <c r="G42">
        <v>94782688</v>
      </c>
      <c r="J42" t="s">
        <v>252</v>
      </c>
      <c r="L42">
        <v>381121</v>
      </c>
      <c r="M42" t="s">
        <v>41</v>
      </c>
      <c r="R42" t="s">
        <v>539</v>
      </c>
      <c r="S42" t="s">
        <v>866</v>
      </c>
      <c r="U42" t="s">
        <v>867</v>
      </c>
      <c r="V42" t="s">
        <v>43</v>
      </c>
      <c r="W42" s="6">
        <v>29694</v>
      </c>
      <c r="AD42" s="6" t="s">
        <v>428</v>
      </c>
      <c r="AE42" t="s">
        <v>696</v>
      </c>
      <c r="AF42">
        <v>0</v>
      </c>
      <c r="AG42" s="3">
        <f>VLOOKUP(D42,lookup!$A$2:$B$57,2,1)</f>
        <v>40</v>
      </c>
      <c r="AH42" t="s">
        <v>253</v>
      </c>
      <c r="AI42" t="s">
        <v>428</v>
      </c>
      <c r="AJ42" t="s">
        <v>428</v>
      </c>
    </row>
    <row r="43" spans="1:36" x14ac:dyDescent="0.2">
      <c r="A43" t="s">
        <v>248</v>
      </c>
      <c r="B43" t="s">
        <v>37</v>
      </c>
      <c r="C43" t="s">
        <v>81</v>
      </c>
      <c r="D43" t="s">
        <v>146</v>
      </c>
      <c r="E43" t="s">
        <v>698</v>
      </c>
      <c r="G43">
        <v>86989447</v>
      </c>
      <c r="J43" t="s">
        <v>40</v>
      </c>
      <c r="L43">
        <v>738471</v>
      </c>
      <c r="M43" t="s">
        <v>41</v>
      </c>
      <c r="R43" t="s">
        <v>539</v>
      </c>
      <c r="S43" t="s">
        <v>868</v>
      </c>
      <c r="U43" t="s">
        <v>869</v>
      </c>
      <c r="V43" t="s">
        <v>43</v>
      </c>
      <c r="W43" s="6">
        <v>28030</v>
      </c>
      <c r="AD43" s="6" t="s">
        <v>428</v>
      </c>
      <c r="AE43" t="s">
        <v>696</v>
      </c>
      <c r="AF43">
        <v>0</v>
      </c>
      <c r="AG43" s="3">
        <f>VLOOKUP(D43,lookup!$A$2:$B$57,2,1)</f>
        <v>24</v>
      </c>
      <c r="AH43" t="s">
        <v>249</v>
      </c>
      <c r="AI43" t="s">
        <v>428</v>
      </c>
      <c r="AJ43" t="s">
        <v>428</v>
      </c>
    </row>
    <row r="44" spans="1:36" x14ac:dyDescent="0.2">
      <c r="A44" t="s">
        <v>725</v>
      </c>
      <c r="B44" t="s">
        <v>37</v>
      </c>
      <c r="C44" t="s">
        <v>38</v>
      </c>
      <c r="D44" t="s">
        <v>287</v>
      </c>
      <c r="E44" t="s">
        <v>739</v>
      </c>
      <c r="F44" t="s">
        <v>288</v>
      </c>
      <c r="G44">
        <v>90062191</v>
      </c>
      <c r="J44" t="s">
        <v>289</v>
      </c>
      <c r="L44">
        <v>650503</v>
      </c>
      <c r="M44" t="s">
        <v>41</v>
      </c>
      <c r="R44" t="s">
        <v>693</v>
      </c>
      <c r="S44" t="s">
        <v>870</v>
      </c>
      <c r="U44" t="s">
        <v>871</v>
      </c>
      <c r="V44" t="s">
        <v>51</v>
      </c>
      <c r="W44" s="6">
        <v>33383</v>
      </c>
      <c r="AC44" t="s">
        <v>291</v>
      </c>
      <c r="AD44" s="6">
        <v>46621</v>
      </c>
      <c r="AE44" t="s">
        <v>985</v>
      </c>
      <c r="AF44">
        <v>0</v>
      </c>
      <c r="AG44" s="3">
        <f>VLOOKUP(D44,lookup!$A$2:$B$57,2,1)</f>
        <v>0</v>
      </c>
      <c r="AH44" t="s">
        <v>292</v>
      </c>
      <c r="AI44" t="s">
        <v>428</v>
      </c>
      <c r="AJ44" t="s">
        <v>428</v>
      </c>
    </row>
    <row r="45" spans="1:36" x14ac:dyDescent="0.2">
      <c r="A45" t="s">
        <v>726</v>
      </c>
      <c r="B45" t="s">
        <v>37</v>
      </c>
      <c r="C45" t="s">
        <v>68</v>
      </c>
      <c r="D45" t="s">
        <v>224</v>
      </c>
      <c r="E45" t="s">
        <v>721</v>
      </c>
      <c r="F45" t="s">
        <v>350</v>
      </c>
      <c r="G45">
        <v>82450575</v>
      </c>
      <c r="J45" t="s">
        <v>351</v>
      </c>
      <c r="L45">
        <v>730722</v>
      </c>
      <c r="M45" t="s">
        <v>41</v>
      </c>
      <c r="R45" t="s">
        <v>821</v>
      </c>
      <c r="S45" t="s">
        <v>872</v>
      </c>
      <c r="U45" t="s">
        <v>873</v>
      </c>
      <c r="V45" t="s">
        <v>43</v>
      </c>
      <c r="W45" s="6">
        <v>25338</v>
      </c>
      <c r="AC45" t="s">
        <v>352</v>
      </c>
      <c r="AD45" s="6">
        <v>46611</v>
      </c>
      <c r="AE45" t="s">
        <v>696</v>
      </c>
      <c r="AF45">
        <v>0</v>
      </c>
      <c r="AG45" s="3">
        <f>VLOOKUP(D45,lookup!$A$2:$B$57,2,1)</f>
        <v>36</v>
      </c>
      <c r="AH45" t="s">
        <v>353</v>
      </c>
      <c r="AI45" t="s">
        <v>354</v>
      </c>
      <c r="AJ45" t="s">
        <v>981</v>
      </c>
    </row>
    <row r="46" spans="1:36" x14ac:dyDescent="0.2">
      <c r="A46" t="s">
        <v>266</v>
      </c>
      <c r="B46" t="s">
        <v>37</v>
      </c>
      <c r="C46" t="s">
        <v>267</v>
      </c>
      <c r="D46" t="s">
        <v>268</v>
      </c>
      <c r="E46" t="s">
        <v>433</v>
      </c>
      <c r="J46" t="s">
        <v>40</v>
      </c>
      <c r="L46">
        <v>738471</v>
      </c>
      <c r="M46" t="s">
        <v>41</v>
      </c>
      <c r="R46" t="s">
        <v>758</v>
      </c>
      <c r="S46" t="s">
        <v>874</v>
      </c>
      <c r="U46" t="s">
        <v>875</v>
      </c>
      <c r="V46" t="s">
        <v>43</v>
      </c>
      <c r="W46" s="6">
        <v>30980</v>
      </c>
      <c r="Y46" t="s">
        <v>990</v>
      </c>
      <c r="AD46" s="6" t="s">
        <v>428</v>
      </c>
      <c r="AE46" t="s">
        <v>696</v>
      </c>
      <c r="AF46">
        <v>0</v>
      </c>
      <c r="AG46" s="3">
        <f>VLOOKUP(D46,lookup!$A$2:$B$57,2,1)</f>
        <v>19</v>
      </c>
      <c r="AH46" t="s">
        <v>269</v>
      </c>
      <c r="AI46" t="s">
        <v>428</v>
      </c>
      <c r="AJ46" t="s">
        <v>428</v>
      </c>
    </row>
    <row r="47" spans="1:36" x14ac:dyDescent="0.2">
      <c r="A47" t="s">
        <v>270</v>
      </c>
      <c r="B47" t="s">
        <v>37</v>
      </c>
      <c r="C47" t="s">
        <v>38</v>
      </c>
      <c r="D47" t="s">
        <v>271</v>
      </c>
      <c r="E47" t="s">
        <v>739</v>
      </c>
      <c r="G47">
        <v>87433343</v>
      </c>
      <c r="J47" t="s">
        <v>40</v>
      </c>
      <c r="L47">
        <v>738471</v>
      </c>
      <c r="M47" t="s">
        <v>41</v>
      </c>
      <c r="R47" t="s">
        <v>539</v>
      </c>
      <c r="S47" t="s">
        <v>876</v>
      </c>
      <c r="U47" t="s">
        <v>877</v>
      </c>
      <c r="V47" t="s">
        <v>43</v>
      </c>
      <c r="W47" s="6">
        <v>35763</v>
      </c>
      <c r="Y47" t="s">
        <v>989</v>
      </c>
      <c r="AD47" s="6" t="s">
        <v>428</v>
      </c>
      <c r="AE47" t="s">
        <v>696</v>
      </c>
      <c r="AF47">
        <v>0</v>
      </c>
      <c r="AG47" s="3">
        <f>VLOOKUP(D47,lookup!$A$2:$B$57,2,1)</f>
        <v>21</v>
      </c>
      <c r="AH47" t="s">
        <v>272</v>
      </c>
      <c r="AI47" t="s">
        <v>428</v>
      </c>
      <c r="AJ47" t="s">
        <v>428</v>
      </c>
    </row>
    <row r="48" spans="1:36" x14ac:dyDescent="0.2">
      <c r="A48" t="s">
        <v>273</v>
      </c>
      <c r="B48" t="s">
        <v>37</v>
      </c>
      <c r="C48" t="s">
        <v>38</v>
      </c>
      <c r="D48" t="s">
        <v>250</v>
      </c>
      <c r="E48" t="s">
        <v>739</v>
      </c>
      <c r="G48">
        <v>88586212</v>
      </c>
      <c r="J48" t="s">
        <v>40</v>
      </c>
      <c r="L48">
        <v>738471</v>
      </c>
      <c r="M48" t="s">
        <v>41</v>
      </c>
      <c r="R48" t="s">
        <v>539</v>
      </c>
      <c r="S48" t="s">
        <v>878</v>
      </c>
      <c r="U48" t="s">
        <v>879</v>
      </c>
      <c r="V48" t="s">
        <v>43</v>
      </c>
      <c r="W48" s="6">
        <v>30842</v>
      </c>
      <c r="AD48" s="6" t="s">
        <v>428</v>
      </c>
      <c r="AE48" t="s">
        <v>696</v>
      </c>
      <c r="AF48">
        <v>0</v>
      </c>
      <c r="AG48" s="3">
        <f>VLOOKUP(D48,lookup!$A$2:$B$57,2,1)</f>
        <v>40</v>
      </c>
      <c r="AH48" t="s">
        <v>274</v>
      </c>
      <c r="AI48" t="s">
        <v>428</v>
      </c>
      <c r="AJ48" t="s">
        <v>428</v>
      </c>
    </row>
    <row r="49" spans="1:36" x14ac:dyDescent="0.2">
      <c r="A49" t="s">
        <v>275</v>
      </c>
      <c r="B49" t="s">
        <v>37</v>
      </c>
      <c r="C49" t="s">
        <v>81</v>
      </c>
      <c r="D49" t="s">
        <v>146</v>
      </c>
      <c r="E49" t="s">
        <v>698</v>
      </c>
      <c r="G49">
        <v>90683593</v>
      </c>
      <c r="J49" t="s">
        <v>196</v>
      </c>
      <c r="L49">
        <v>730401</v>
      </c>
      <c r="M49" t="s">
        <v>41</v>
      </c>
      <c r="R49" t="s">
        <v>539</v>
      </c>
      <c r="S49" t="s">
        <v>880</v>
      </c>
      <c r="U49" t="s">
        <v>881</v>
      </c>
      <c r="V49" t="s">
        <v>43</v>
      </c>
      <c r="W49" s="6">
        <v>22940</v>
      </c>
      <c r="AD49" s="6" t="s">
        <v>428</v>
      </c>
      <c r="AE49" t="s">
        <v>696</v>
      </c>
      <c r="AF49">
        <v>0</v>
      </c>
      <c r="AG49" s="3">
        <f>VLOOKUP(D49,lookup!$A$2:$B$57,2,1)</f>
        <v>24</v>
      </c>
      <c r="AH49" t="s">
        <v>276</v>
      </c>
      <c r="AI49" t="s">
        <v>428</v>
      </c>
      <c r="AJ49" t="s">
        <v>428</v>
      </c>
    </row>
    <row r="50" spans="1:36" x14ac:dyDescent="0.2">
      <c r="A50" t="s">
        <v>277</v>
      </c>
      <c r="B50" t="s">
        <v>37</v>
      </c>
      <c r="C50" t="s">
        <v>81</v>
      </c>
      <c r="D50" t="s">
        <v>152</v>
      </c>
      <c r="E50" t="s">
        <v>698</v>
      </c>
      <c r="G50">
        <v>83190467</v>
      </c>
      <c r="J50" t="s">
        <v>40</v>
      </c>
      <c r="L50">
        <v>738471</v>
      </c>
      <c r="M50" t="s">
        <v>41</v>
      </c>
      <c r="R50" t="s">
        <v>539</v>
      </c>
      <c r="S50" t="s">
        <v>882</v>
      </c>
      <c r="U50" t="s">
        <v>883</v>
      </c>
      <c r="V50" t="s">
        <v>43</v>
      </c>
      <c r="W50" s="6">
        <v>38210</v>
      </c>
      <c r="Y50" t="s">
        <v>989</v>
      </c>
      <c r="AD50" s="6" t="s">
        <v>428</v>
      </c>
      <c r="AE50" t="s">
        <v>985</v>
      </c>
      <c r="AF50">
        <v>0</v>
      </c>
      <c r="AG50" s="3">
        <f>VLOOKUP(D50,lookup!$A$2:$B$57,2,1)</f>
        <v>18</v>
      </c>
      <c r="AH50" t="s">
        <v>278</v>
      </c>
      <c r="AI50" t="s">
        <v>428</v>
      </c>
      <c r="AJ50" t="s">
        <v>428</v>
      </c>
    </row>
    <row r="51" spans="1:36" x14ac:dyDescent="0.2">
      <c r="A51" t="s">
        <v>279</v>
      </c>
      <c r="B51" t="s">
        <v>37</v>
      </c>
      <c r="C51" t="s">
        <v>38</v>
      </c>
      <c r="D51" t="s">
        <v>154</v>
      </c>
      <c r="E51" t="s">
        <v>739</v>
      </c>
      <c r="G51">
        <v>83729655</v>
      </c>
      <c r="J51" t="s">
        <v>40</v>
      </c>
      <c r="L51">
        <v>738471</v>
      </c>
      <c r="M51" t="s">
        <v>41</v>
      </c>
      <c r="R51" t="s">
        <v>539</v>
      </c>
      <c r="S51" t="s">
        <v>884</v>
      </c>
      <c r="U51" t="s">
        <v>885</v>
      </c>
      <c r="V51" t="s">
        <v>43</v>
      </c>
      <c r="W51" s="6">
        <v>34779</v>
      </c>
      <c r="Y51" t="s">
        <v>989</v>
      </c>
      <c r="AD51" s="6" t="s">
        <v>428</v>
      </c>
      <c r="AE51" t="s">
        <v>696</v>
      </c>
      <c r="AF51">
        <v>0</v>
      </c>
      <c r="AG51" s="3">
        <f>VLOOKUP(D51,lookup!$A$2:$B$57,2,1)</f>
        <v>21</v>
      </c>
      <c r="AH51" t="s">
        <v>280</v>
      </c>
      <c r="AI51" t="s">
        <v>428</v>
      </c>
      <c r="AJ51" t="s">
        <v>428</v>
      </c>
    </row>
    <row r="52" spans="1:36" x14ac:dyDescent="0.2">
      <c r="A52" t="s">
        <v>281</v>
      </c>
      <c r="B52" t="s">
        <v>37</v>
      </c>
      <c r="C52" t="s">
        <v>149</v>
      </c>
      <c r="D52" t="s">
        <v>282</v>
      </c>
      <c r="E52" t="s">
        <v>736</v>
      </c>
      <c r="F52" t="s">
        <v>283</v>
      </c>
      <c r="G52">
        <v>84040761</v>
      </c>
      <c r="J52" t="s">
        <v>40</v>
      </c>
      <c r="L52">
        <v>738471</v>
      </c>
      <c r="M52" t="s">
        <v>41</v>
      </c>
      <c r="R52" t="s">
        <v>539</v>
      </c>
      <c r="S52" t="s">
        <v>886</v>
      </c>
      <c r="U52">
        <v>55295168</v>
      </c>
      <c r="V52" t="s">
        <v>43</v>
      </c>
      <c r="W52" s="6">
        <v>36247</v>
      </c>
      <c r="Y52" t="s">
        <v>989</v>
      </c>
      <c r="AD52" s="6" t="s">
        <v>428</v>
      </c>
      <c r="AE52" t="s">
        <v>696</v>
      </c>
      <c r="AF52">
        <v>0</v>
      </c>
      <c r="AG52" s="3">
        <f>VLOOKUP(D52,lookup!$A$2:$B$57,2,1)</f>
        <v>19</v>
      </c>
      <c r="AH52" t="s">
        <v>284</v>
      </c>
      <c r="AI52" t="s">
        <v>428</v>
      </c>
      <c r="AJ52" t="s">
        <v>428</v>
      </c>
    </row>
    <row r="53" spans="1:36" x14ac:dyDescent="0.2">
      <c r="A53" t="s">
        <v>285</v>
      </c>
      <c r="B53" t="s">
        <v>37</v>
      </c>
      <c r="C53" t="s">
        <v>38</v>
      </c>
      <c r="D53" t="s">
        <v>39</v>
      </c>
      <c r="E53" t="s">
        <v>739</v>
      </c>
      <c r="G53">
        <v>84185388</v>
      </c>
      <c r="J53" t="s">
        <v>40</v>
      </c>
      <c r="L53">
        <v>738471</v>
      </c>
      <c r="M53" t="s">
        <v>41</v>
      </c>
      <c r="R53" t="s">
        <v>539</v>
      </c>
      <c r="S53" t="s">
        <v>887</v>
      </c>
      <c r="U53" t="s">
        <v>888</v>
      </c>
      <c r="V53" t="s">
        <v>43</v>
      </c>
      <c r="W53" s="6">
        <v>33863</v>
      </c>
      <c r="Y53" t="s">
        <v>989</v>
      </c>
      <c r="AD53" s="6" t="s">
        <v>428</v>
      </c>
      <c r="AE53" t="s">
        <v>985</v>
      </c>
      <c r="AF53">
        <v>0</v>
      </c>
      <c r="AG53" s="3">
        <f>VLOOKUP(D53,lookup!$A$2:$B$57,2,1)</f>
        <v>21</v>
      </c>
      <c r="AH53" t="s">
        <v>286</v>
      </c>
      <c r="AI53" t="s">
        <v>428</v>
      </c>
      <c r="AJ53" t="s">
        <v>428</v>
      </c>
    </row>
    <row r="54" spans="1:36" x14ac:dyDescent="0.2">
      <c r="A54" t="s">
        <v>299</v>
      </c>
      <c r="B54" t="s">
        <v>37</v>
      </c>
      <c r="C54" t="s">
        <v>54</v>
      </c>
      <c r="D54" t="s">
        <v>55</v>
      </c>
      <c r="E54" t="s">
        <v>686</v>
      </c>
      <c r="G54">
        <v>98680615</v>
      </c>
      <c r="J54" t="s">
        <v>40</v>
      </c>
      <c r="L54">
        <v>738471</v>
      </c>
      <c r="M54" t="s">
        <v>41</v>
      </c>
      <c r="R54" t="s">
        <v>821</v>
      </c>
      <c r="S54" t="s">
        <v>889</v>
      </c>
      <c r="U54" t="s">
        <v>890</v>
      </c>
      <c r="V54" t="s">
        <v>43</v>
      </c>
      <c r="W54" s="6">
        <v>34448</v>
      </c>
      <c r="Y54" t="s">
        <v>992</v>
      </c>
      <c r="AD54" s="6" t="s">
        <v>428</v>
      </c>
      <c r="AE54" t="s">
        <v>985</v>
      </c>
      <c r="AF54">
        <v>0</v>
      </c>
      <c r="AG54" s="3">
        <f>VLOOKUP(D54,lookup!$A$2:$B$57,2,1)</f>
        <v>22</v>
      </c>
      <c r="AH54" t="s">
        <v>300</v>
      </c>
      <c r="AI54" t="s">
        <v>428</v>
      </c>
      <c r="AJ54" t="s">
        <v>428</v>
      </c>
    </row>
    <row r="55" spans="1:36" x14ac:dyDescent="0.2">
      <c r="A55" t="s">
        <v>301</v>
      </c>
      <c r="B55" t="s">
        <v>37</v>
      </c>
      <c r="C55" t="s">
        <v>81</v>
      </c>
      <c r="D55" t="s">
        <v>302</v>
      </c>
      <c r="E55" t="s">
        <v>698</v>
      </c>
      <c r="G55">
        <v>88798399</v>
      </c>
      <c r="J55" t="s">
        <v>303</v>
      </c>
      <c r="L55">
        <v>730645</v>
      </c>
      <c r="M55" t="s">
        <v>41</v>
      </c>
      <c r="R55" t="s">
        <v>539</v>
      </c>
      <c r="S55" t="s">
        <v>891</v>
      </c>
      <c r="U55" t="s">
        <v>892</v>
      </c>
      <c r="V55" t="s">
        <v>43</v>
      </c>
      <c r="W55" s="6">
        <v>37119</v>
      </c>
      <c r="Y55" t="s">
        <v>989</v>
      </c>
      <c r="AD55" s="6" t="s">
        <v>428</v>
      </c>
      <c r="AE55" t="s">
        <v>985</v>
      </c>
      <c r="AF55">
        <v>0</v>
      </c>
      <c r="AG55" s="3">
        <f>VLOOKUP(D55,lookup!$A$2:$B$57,2,1)</f>
        <v>18</v>
      </c>
      <c r="AH55" t="s">
        <v>304</v>
      </c>
      <c r="AI55" t="s">
        <v>428</v>
      </c>
      <c r="AJ55" t="s">
        <v>428</v>
      </c>
    </row>
    <row r="56" spans="1:36" x14ac:dyDescent="0.2">
      <c r="A56" t="s">
        <v>305</v>
      </c>
      <c r="B56" t="s">
        <v>37</v>
      </c>
      <c r="C56" t="s">
        <v>149</v>
      </c>
      <c r="D56" t="s">
        <v>150</v>
      </c>
      <c r="E56" t="s">
        <v>736</v>
      </c>
      <c r="G56">
        <v>93919186</v>
      </c>
      <c r="J56" t="s">
        <v>306</v>
      </c>
      <c r="L56">
        <v>570214</v>
      </c>
      <c r="M56" t="s">
        <v>41</v>
      </c>
      <c r="R56" t="s">
        <v>539</v>
      </c>
      <c r="S56" t="s">
        <v>893</v>
      </c>
      <c r="U56" t="s">
        <v>894</v>
      </c>
      <c r="V56" t="s">
        <v>43</v>
      </c>
      <c r="W56" s="6">
        <v>31382</v>
      </c>
      <c r="AD56" s="6" t="s">
        <v>428</v>
      </c>
      <c r="AE56" t="s">
        <v>696</v>
      </c>
      <c r="AF56">
        <v>0</v>
      </c>
      <c r="AG56" s="3">
        <f>VLOOKUP(D56,lookup!$A$2:$B$57,2,1)</f>
        <v>19</v>
      </c>
      <c r="AH56" t="s">
        <v>307</v>
      </c>
      <c r="AI56" t="s">
        <v>428</v>
      </c>
      <c r="AJ56" t="s">
        <v>428</v>
      </c>
    </row>
    <row r="57" spans="1:36" x14ac:dyDescent="0.2">
      <c r="A57" t="s">
        <v>727</v>
      </c>
      <c r="B57" t="s">
        <v>37</v>
      </c>
      <c r="C57" t="s">
        <v>223</v>
      </c>
      <c r="D57" t="s">
        <v>224</v>
      </c>
      <c r="E57" t="s">
        <v>708</v>
      </c>
      <c r="F57" t="s">
        <v>308</v>
      </c>
      <c r="G57">
        <v>86435083</v>
      </c>
      <c r="J57" t="s">
        <v>309</v>
      </c>
      <c r="L57">
        <v>750325</v>
      </c>
      <c r="M57" t="s">
        <v>41</v>
      </c>
      <c r="R57" t="s">
        <v>539</v>
      </c>
      <c r="S57" t="s">
        <v>895</v>
      </c>
      <c r="U57" t="s">
        <v>896</v>
      </c>
      <c r="V57" t="s">
        <v>43</v>
      </c>
      <c r="W57" s="6">
        <v>34850</v>
      </c>
      <c r="Y57" t="s">
        <v>989</v>
      </c>
      <c r="AD57" s="6" t="s">
        <v>428</v>
      </c>
      <c r="AE57" t="s">
        <v>985</v>
      </c>
      <c r="AF57">
        <v>0</v>
      </c>
      <c r="AG57" s="3">
        <f>VLOOKUP(D57,lookup!$A$2:$B$57,2,1)</f>
        <v>36</v>
      </c>
      <c r="AH57" t="s">
        <v>310</v>
      </c>
      <c r="AI57" t="s">
        <v>428</v>
      </c>
      <c r="AJ57" t="s">
        <v>428</v>
      </c>
    </row>
    <row r="58" spans="1:36" x14ac:dyDescent="0.2">
      <c r="A58" t="s">
        <v>311</v>
      </c>
      <c r="B58" t="s">
        <v>37</v>
      </c>
      <c r="C58" t="s">
        <v>81</v>
      </c>
      <c r="D58" t="s">
        <v>152</v>
      </c>
      <c r="E58" t="s">
        <v>698</v>
      </c>
      <c r="G58">
        <v>98929350</v>
      </c>
      <c r="J58" t="s">
        <v>40</v>
      </c>
      <c r="L58">
        <v>738471</v>
      </c>
      <c r="M58" t="s">
        <v>41</v>
      </c>
      <c r="R58" t="s">
        <v>539</v>
      </c>
      <c r="S58" t="s">
        <v>897</v>
      </c>
      <c r="U58" t="s">
        <v>898</v>
      </c>
      <c r="V58" t="s">
        <v>43</v>
      </c>
      <c r="W58" s="6">
        <v>36487</v>
      </c>
      <c r="Y58" t="s">
        <v>989</v>
      </c>
      <c r="AD58" s="6" t="s">
        <v>428</v>
      </c>
      <c r="AE58" t="s">
        <v>696</v>
      </c>
      <c r="AF58">
        <v>0</v>
      </c>
      <c r="AG58" s="3">
        <f>VLOOKUP(D58,lookup!$A$2:$B$57,2,1)</f>
        <v>18</v>
      </c>
      <c r="AH58" t="s">
        <v>312</v>
      </c>
      <c r="AI58" t="s">
        <v>428</v>
      </c>
      <c r="AJ58" t="s">
        <v>428</v>
      </c>
    </row>
    <row r="59" spans="1:36" x14ac:dyDescent="0.2">
      <c r="A59" t="s">
        <v>313</v>
      </c>
      <c r="B59" t="s">
        <v>37</v>
      </c>
      <c r="C59" t="s">
        <v>81</v>
      </c>
      <c r="D59" t="s">
        <v>302</v>
      </c>
      <c r="E59" t="s">
        <v>738</v>
      </c>
      <c r="J59" t="s">
        <v>314</v>
      </c>
      <c r="L59">
        <v>760117</v>
      </c>
      <c r="M59" t="s">
        <v>41</v>
      </c>
      <c r="R59" t="s">
        <v>540</v>
      </c>
      <c r="S59" t="s">
        <v>899</v>
      </c>
      <c r="U59" t="s">
        <v>900</v>
      </c>
      <c r="V59" t="s">
        <v>43</v>
      </c>
      <c r="W59" s="6">
        <v>20208</v>
      </c>
      <c r="AD59" s="6" t="s">
        <v>428</v>
      </c>
      <c r="AE59" t="s">
        <v>696</v>
      </c>
      <c r="AF59">
        <v>0</v>
      </c>
      <c r="AG59" s="3">
        <f>VLOOKUP(D59,lookup!$A$2:$B$57,2,1)</f>
        <v>18</v>
      </c>
      <c r="AH59" t="s">
        <v>315</v>
      </c>
      <c r="AI59" t="s">
        <v>428</v>
      </c>
      <c r="AJ59" t="s">
        <v>428</v>
      </c>
    </row>
    <row r="60" spans="1:36" x14ac:dyDescent="0.2">
      <c r="A60" t="s">
        <v>728</v>
      </c>
      <c r="B60" t="s">
        <v>37</v>
      </c>
      <c r="C60" t="s">
        <v>123</v>
      </c>
      <c r="D60" t="s">
        <v>293</v>
      </c>
      <c r="E60" t="s">
        <v>691</v>
      </c>
      <c r="F60" t="s">
        <v>294</v>
      </c>
      <c r="G60">
        <v>97994306</v>
      </c>
      <c r="J60" t="s">
        <v>295</v>
      </c>
      <c r="L60">
        <v>730762</v>
      </c>
      <c r="M60" t="s">
        <v>41</v>
      </c>
      <c r="R60" t="s">
        <v>540</v>
      </c>
      <c r="S60" t="s">
        <v>901</v>
      </c>
      <c r="U60" t="s">
        <v>902</v>
      </c>
      <c r="V60" t="s">
        <v>51</v>
      </c>
      <c r="W60" s="6">
        <v>26635</v>
      </c>
      <c r="AD60" s="6" t="s">
        <v>428</v>
      </c>
      <c r="AE60" t="s">
        <v>678</v>
      </c>
      <c r="AF60">
        <v>0</v>
      </c>
      <c r="AG60" s="3">
        <f>VLOOKUP(D60,lookup!$A$2:$B$57,2,1)</f>
        <v>0</v>
      </c>
      <c r="AH60" t="s">
        <v>296</v>
      </c>
      <c r="AI60" t="s">
        <v>297</v>
      </c>
      <c r="AJ60" t="s">
        <v>298</v>
      </c>
    </row>
    <row r="61" spans="1:36" x14ac:dyDescent="0.2">
      <c r="A61" t="s">
        <v>729</v>
      </c>
      <c r="B61" t="s">
        <v>37</v>
      </c>
      <c r="C61" t="s">
        <v>123</v>
      </c>
      <c r="D61" t="s">
        <v>124</v>
      </c>
      <c r="E61" t="s">
        <v>728</v>
      </c>
      <c r="F61" t="s">
        <v>125</v>
      </c>
      <c r="G61">
        <v>87919665</v>
      </c>
      <c r="J61" t="s">
        <v>40</v>
      </c>
      <c r="L61">
        <v>738471</v>
      </c>
      <c r="M61" t="s">
        <v>41</v>
      </c>
      <c r="R61" t="s">
        <v>539</v>
      </c>
      <c r="S61" t="s">
        <v>903</v>
      </c>
      <c r="U61" t="s">
        <v>904</v>
      </c>
      <c r="V61" t="s">
        <v>51</v>
      </c>
      <c r="W61" s="6">
        <v>30837</v>
      </c>
      <c r="Y61" t="s">
        <v>989</v>
      </c>
      <c r="AD61" s="6" t="s">
        <v>428</v>
      </c>
      <c r="AE61" t="s">
        <v>678</v>
      </c>
      <c r="AF61">
        <v>0</v>
      </c>
      <c r="AG61" s="3">
        <f>VLOOKUP(D61,lookup!$A$2:$B$57,2,1)</f>
        <v>0</v>
      </c>
      <c r="AH61" t="s">
        <v>126</v>
      </c>
      <c r="AI61" t="s">
        <v>428</v>
      </c>
      <c r="AJ61" t="s">
        <v>428</v>
      </c>
    </row>
    <row r="62" spans="1:36" x14ac:dyDescent="0.2">
      <c r="A62" t="s">
        <v>730</v>
      </c>
      <c r="B62" t="s">
        <v>37</v>
      </c>
      <c r="C62" t="s">
        <v>81</v>
      </c>
      <c r="D62" t="s">
        <v>69</v>
      </c>
      <c r="E62" t="s">
        <v>721</v>
      </c>
      <c r="F62" t="s">
        <v>382</v>
      </c>
      <c r="G62">
        <v>90365865</v>
      </c>
      <c r="J62" t="s">
        <v>907</v>
      </c>
      <c r="L62">
        <v>689529</v>
      </c>
      <c r="M62" t="s">
        <v>41</v>
      </c>
      <c r="R62" t="s">
        <v>60</v>
      </c>
      <c r="S62" t="s">
        <v>908</v>
      </c>
      <c r="U62" t="s">
        <v>909</v>
      </c>
      <c r="V62" t="s">
        <v>43</v>
      </c>
      <c r="W62" s="6">
        <v>35180</v>
      </c>
      <c r="Y62" t="s">
        <v>993</v>
      </c>
      <c r="AC62" t="s">
        <v>383</v>
      </c>
      <c r="AD62" s="6">
        <v>46180</v>
      </c>
      <c r="AE62" t="s">
        <v>985</v>
      </c>
      <c r="AF62">
        <v>0</v>
      </c>
      <c r="AG62" s="3">
        <f>VLOOKUP(D62,lookup!$A$2:$B$57,2,1)</f>
        <v>32</v>
      </c>
      <c r="AH62" t="s">
        <v>384</v>
      </c>
      <c r="AI62" t="s">
        <v>428</v>
      </c>
      <c r="AJ62" t="s">
        <v>428</v>
      </c>
    </row>
    <row r="63" spans="1:36" x14ac:dyDescent="0.2">
      <c r="A63" t="s">
        <v>731</v>
      </c>
      <c r="B63" t="s">
        <v>37</v>
      </c>
      <c r="C63" t="s">
        <v>54</v>
      </c>
      <c r="D63" t="s">
        <v>320</v>
      </c>
      <c r="E63" t="s">
        <v>686</v>
      </c>
      <c r="F63" t="s">
        <v>321</v>
      </c>
      <c r="G63">
        <v>93902293</v>
      </c>
      <c r="J63" t="s">
        <v>322</v>
      </c>
      <c r="L63">
        <v>734782</v>
      </c>
      <c r="M63" t="s">
        <v>41</v>
      </c>
      <c r="R63" t="s">
        <v>539</v>
      </c>
      <c r="S63" t="s">
        <v>910</v>
      </c>
      <c r="U63" t="s">
        <v>911</v>
      </c>
      <c r="V63" t="s">
        <v>51</v>
      </c>
      <c r="W63" s="6">
        <v>33988</v>
      </c>
      <c r="Y63" t="s">
        <v>989</v>
      </c>
      <c r="AD63" s="6" t="s">
        <v>428</v>
      </c>
      <c r="AE63" t="s">
        <v>985</v>
      </c>
      <c r="AF63">
        <v>0</v>
      </c>
      <c r="AG63" s="3">
        <f>VLOOKUP(D63,lookup!$A$2:$B$57,2,1)</f>
        <v>0</v>
      </c>
      <c r="AH63" t="s">
        <v>323</v>
      </c>
      <c r="AI63" t="s">
        <v>428</v>
      </c>
      <c r="AJ63" t="s">
        <v>428</v>
      </c>
    </row>
    <row r="64" spans="1:36" x14ac:dyDescent="0.2">
      <c r="A64" t="s">
        <v>686</v>
      </c>
      <c r="B64" t="s">
        <v>37</v>
      </c>
      <c r="C64" t="s">
        <v>54</v>
      </c>
      <c r="D64" t="s">
        <v>184</v>
      </c>
      <c r="E64" t="s">
        <v>691</v>
      </c>
      <c r="F64" t="s">
        <v>185</v>
      </c>
      <c r="G64">
        <v>97832812</v>
      </c>
      <c r="J64" t="s">
        <v>186</v>
      </c>
      <c r="L64">
        <v>797475</v>
      </c>
      <c r="M64" t="s">
        <v>41</v>
      </c>
      <c r="R64" t="s">
        <v>539</v>
      </c>
      <c r="S64" t="s">
        <v>912</v>
      </c>
      <c r="U64" t="s">
        <v>913</v>
      </c>
      <c r="V64" t="s">
        <v>51</v>
      </c>
      <c r="W64" s="6">
        <v>29060</v>
      </c>
      <c r="AD64" s="6" t="s">
        <v>428</v>
      </c>
      <c r="AE64" t="s">
        <v>985</v>
      </c>
      <c r="AF64">
        <v>0</v>
      </c>
      <c r="AG64" s="3">
        <f>VLOOKUP(D64,lookup!$A$2:$B$57,2,1)</f>
        <v>0</v>
      </c>
      <c r="AH64" t="s">
        <v>187</v>
      </c>
      <c r="AI64" t="s">
        <v>428</v>
      </c>
      <c r="AJ64" t="s">
        <v>428</v>
      </c>
    </row>
    <row r="65" spans="1:36" x14ac:dyDescent="0.2">
      <c r="A65" t="s">
        <v>732</v>
      </c>
      <c r="B65" t="s">
        <v>37</v>
      </c>
      <c r="C65" t="s">
        <v>38</v>
      </c>
      <c r="D65" t="s">
        <v>271</v>
      </c>
      <c r="E65" t="s">
        <v>739</v>
      </c>
      <c r="G65">
        <v>83053256</v>
      </c>
      <c r="J65" t="s">
        <v>40</v>
      </c>
      <c r="L65">
        <v>738471</v>
      </c>
      <c r="M65" t="s">
        <v>41</v>
      </c>
      <c r="R65" t="s">
        <v>539</v>
      </c>
      <c r="S65" t="s">
        <v>914</v>
      </c>
      <c r="U65" t="s">
        <v>915</v>
      </c>
      <c r="V65" t="s">
        <v>43</v>
      </c>
      <c r="W65" s="6">
        <v>34668</v>
      </c>
      <c r="Y65" t="s">
        <v>989</v>
      </c>
      <c r="AD65" s="6" t="s">
        <v>428</v>
      </c>
      <c r="AE65" t="s">
        <v>985</v>
      </c>
      <c r="AF65">
        <v>0</v>
      </c>
      <c r="AG65" s="3">
        <f>VLOOKUP(D65,lookup!$A$2:$B$57,2,1)</f>
        <v>21</v>
      </c>
      <c r="AH65" t="s">
        <v>978</v>
      </c>
      <c r="AI65" t="s">
        <v>428</v>
      </c>
      <c r="AJ65" t="s">
        <v>428</v>
      </c>
    </row>
    <row r="66" spans="1:36" x14ac:dyDescent="0.2">
      <c r="A66" t="s">
        <v>324</v>
      </c>
      <c r="B66" t="s">
        <v>37</v>
      </c>
      <c r="C66" t="s">
        <v>38</v>
      </c>
      <c r="D66" t="s">
        <v>59</v>
      </c>
      <c r="E66" t="s">
        <v>739</v>
      </c>
      <c r="G66">
        <v>85756787</v>
      </c>
      <c r="J66" t="s">
        <v>40</v>
      </c>
      <c r="L66">
        <v>738471</v>
      </c>
      <c r="M66" t="s">
        <v>41</v>
      </c>
      <c r="R66" t="s">
        <v>821</v>
      </c>
      <c r="S66" t="s">
        <v>916</v>
      </c>
      <c r="U66" t="s">
        <v>917</v>
      </c>
      <c r="V66" t="s">
        <v>43</v>
      </c>
      <c r="W66" s="6">
        <v>30803</v>
      </c>
      <c r="Y66" t="s">
        <v>992</v>
      </c>
      <c r="AD66" s="6" t="s">
        <v>428</v>
      </c>
      <c r="AE66" t="s">
        <v>696</v>
      </c>
      <c r="AF66">
        <v>0</v>
      </c>
      <c r="AG66" s="3">
        <f>VLOOKUP(D66,lookup!$A$2:$B$57,2,1)</f>
        <v>21</v>
      </c>
      <c r="AH66" t="s">
        <v>325</v>
      </c>
      <c r="AI66" t="s">
        <v>428</v>
      </c>
      <c r="AJ66" t="s">
        <v>428</v>
      </c>
    </row>
    <row r="67" spans="1:36" x14ac:dyDescent="0.2">
      <c r="A67" t="s">
        <v>733</v>
      </c>
      <c r="B67" t="s">
        <v>37</v>
      </c>
      <c r="C67" t="s">
        <v>54</v>
      </c>
      <c r="D67" t="s">
        <v>55</v>
      </c>
      <c r="E67" t="s">
        <v>686</v>
      </c>
      <c r="G67">
        <v>86505213</v>
      </c>
      <c r="J67" t="s">
        <v>40</v>
      </c>
      <c r="L67">
        <v>738471</v>
      </c>
      <c r="M67" t="s">
        <v>41</v>
      </c>
      <c r="R67" t="s">
        <v>821</v>
      </c>
      <c r="S67" t="s">
        <v>919</v>
      </c>
      <c r="U67" t="s">
        <v>920</v>
      </c>
      <c r="V67" t="s">
        <v>43</v>
      </c>
      <c r="W67" s="6">
        <v>36823</v>
      </c>
      <c r="Y67" t="s">
        <v>992</v>
      </c>
      <c r="AD67" s="6" t="s">
        <v>428</v>
      </c>
      <c r="AE67" t="s">
        <v>985</v>
      </c>
      <c r="AF67">
        <v>0</v>
      </c>
      <c r="AG67" s="3">
        <f>VLOOKUP(D67,lookup!$A$2:$B$57,2,1)</f>
        <v>22</v>
      </c>
      <c r="AH67" t="s">
        <v>979</v>
      </c>
      <c r="AI67" t="s">
        <v>428</v>
      </c>
      <c r="AJ67" t="s">
        <v>428</v>
      </c>
    </row>
    <row r="68" spans="1:36" x14ac:dyDescent="0.2">
      <c r="A68" t="s">
        <v>331</v>
      </c>
      <c r="B68" t="s">
        <v>37</v>
      </c>
      <c r="C68" t="s">
        <v>38</v>
      </c>
      <c r="D68" t="s">
        <v>154</v>
      </c>
      <c r="E68" t="s">
        <v>739</v>
      </c>
      <c r="G68">
        <v>89295244</v>
      </c>
      <c r="J68" t="s">
        <v>40</v>
      </c>
      <c r="L68">
        <v>738471</v>
      </c>
      <c r="M68" t="s">
        <v>41</v>
      </c>
      <c r="R68" t="s">
        <v>758</v>
      </c>
      <c r="S68" t="s">
        <v>921</v>
      </c>
      <c r="U68" t="s">
        <v>922</v>
      </c>
      <c r="V68" t="s">
        <v>43</v>
      </c>
      <c r="W68" s="6">
        <v>36448</v>
      </c>
      <c r="Y68" t="s">
        <v>990</v>
      </c>
      <c r="AD68" s="6" t="s">
        <v>428</v>
      </c>
      <c r="AE68" t="s">
        <v>985</v>
      </c>
      <c r="AF68">
        <v>0</v>
      </c>
      <c r="AG68" s="3">
        <f>VLOOKUP(D68,lookup!$A$2:$B$57,2,1)</f>
        <v>21</v>
      </c>
      <c r="AH68" t="s">
        <v>332</v>
      </c>
      <c r="AI68" t="s">
        <v>428</v>
      </c>
      <c r="AJ68" t="s">
        <v>428</v>
      </c>
    </row>
    <row r="69" spans="1:36" x14ac:dyDescent="0.2">
      <c r="A69" s="2" t="s">
        <v>333</v>
      </c>
      <c r="B69" s="2" t="s">
        <v>37</v>
      </c>
      <c r="C69" s="2" t="s">
        <v>81</v>
      </c>
      <c r="D69" s="2" t="s">
        <v>146</v>
      </c>
      <c r="E69" s="2" t="s">
        <v>698</v>
      </c>
      <c r="F69" s="2"/>
      <c r="G69" s="2">
        <v>86962803</v>
      </c>
      <c r="H69" s="2"/>
      <c r="I69" s="2"/>
      <c r="J69" s="2" t="s">
        <v>40</v>
      </c>
      <c r="K69" s="2"/>
      <c r="L69" s="2">
        <v>738471</v>
      </c>
      <c r="M69" s="2" t="s">
        <v>41</v>
      </c>
      <c r="N69" s="2"/>
      <c r="O69" s="2"/>
      <c r="P69" s="2"/>
      <c r="Q69" s="2"/>
      <c r="R69" s="2" t="s">
        <v>539</v>
      </c>
      <c r="S69" s="2" t="s">
        <v>923</v>
      </c>
      <c r="T69" s="2"/>
      <c r="U69" s="2" t="s">
        <v>924</v>
      </c>
      <c r="V69" s="2" t="s">
        <v>43</v>
      </c>
      <c r="W69" s="6">
        <v>28882</v>
      </c>
      <c r="X69" s="2"/>
      <c r="Y69" s="2"/>
      <c r="Z69" s="2"/>
      <c r="AA69" s="2"/>
      <c r="AB69" s="2"/>
      <c r="AC69" s="2"/>
      <c r="AD69" s="6" t="s">
        <v>428</v>
      </c>
      <c r="AE69" t="s">
        <v>696</v>
      </c>
      <c r="AF69" s="3" t="s">
        <v>687</v>
      </c>
      <c r="AG69" s="3">
        <f>VLOOKUP(D69,lookup!$A$2:$B$57,2,1)</f>
        <v>24</v>
      </c>
      <c r="AH69" s="2" t="s">
        <v>334</v>
      </c>
      <c r="AI69" s="2" t="s">
        <v>428</v>
      </c>
      <c r="AJ69" s="2" t="s">
        <v>428</v>
      </c>
    </row>
    <row r="70" spans="1:36" x14ac:dyDescent="0.2">
      <c r="A70" t="s">
        <v>734</v>
      </c>
      <c r="B70" t="s">
        <v>37</v>
      </c>
      <c r="C70" t="s">
        <v>127</v>
      </c>
      <c r="D70" t="s">
        <v>171</v>
      </c>
      <c r="E70" t="s">
        <v>740</v>
      </c>
      <c r="F70" t="s">
        <v>343</v>
      </c>
      <c r="G70">
        <v>86129739</v>
      </c>
      <c r="J70" t="s">
        <v>344</v>
      </c>
      <c r="L70">
        <v>731693</v>
      </c>
      <c r="M70" t="s">
        <v>41</v>
      </c>
      <c r="R70" t="s">
        <v>539</v>
      </c>
      <c r="S70" t="s">
        <v>927</v>
      </c>
      <c r="U70" t="s">
        <v>928</v>
      </c>
      <c r="V70" t="s">
        <v>51</v>
      </c>
      <c r="W70" s="6">
        <v>31138</v>
      </c>
      <c r="AD70" s="6" t="s">
        <v>428</v>
      </c>
      <c r="AE70" t="s">
        <v>985</v>
      </c>
      <c r="AH70" t="s">
        <v>345</v>
      </c>
      <c r="AI70" t="s">
        <v>428</v>
      </c>
      <c r="AJ70" t="s">
        <v>428</v>
      </c>
    </row>
    <row r="71" spans="1:36" x14ac:dyDescent="0.2">
      <c r="A71" t="s">
        <v>355</v>
      </c>
      <c r="B71" t="s">
        <v>37</v>
      </c>
      <c r="C71" t="s">
        <v>132</v>
      </c>
      <c r="D71" t="s">
        <v>141</v>
      </c>
      <c r="E71" t="s">
        <v>433</v>
      </c>
      <c r="G71">
        <v>81196394</v>
      </c>
      <c r="J71" t="s">
        <v>40</v>
      </c>
      <c r="L71">
        <v>738471</v>
      </c>
      <c r="M71" t="s">
        <v>41</v>
      </c>
      <c r="R71" t="s">
        <v>539</v>
      </c>
      <c r="S71" t="s">
        <v>929</v>
      </c>
      <c r="U71" t="s">
        <v>930</v>
      </c>
      <c r="V71" t="s">
        <v>51</v>
      </c>
      <c r="W71" s="6">
        <v>25818</v>
      </c>
      <c r="Y71" t="s">
        <v>989</v>
      </c>
      <c r="AD71" s="6" t="s">
        <v>428</v>
      </c>
      <c r="AE71" t="s">
        <v>696</v>
      </c>
      <c r="AH71" t="s">
        <v>356</v>
      </c>
      <c r="AI71" t="s">
        <v>428</v>
      </c>
      <c r="AJ71" t="s">
        <v>428</v>
      </c>
    </row>
    <row r="72" spans="1:36" x14ac:dyDescent="0.2">
      <c r="A72" t="s">
        <v>735</v>
      </c>
      <c r="B72" t="s">
        <v>37</v>
      </c>
      <c r="C72" t="s">
        <v>75</v>
      </c>
      <c r="D72" t="s">
        <v>76</v>
      </c>
      <c r="E72" t="s">
        <v>719</v>
      </c>
      <c r="F72" t="s">
        <v>77</v>
      </c>
      <c r="G72">
        <v>92301517</v>
      </c>
      <c r="J72" t="s">
        <v>78</v>
      </c>
      <c r="L72">
        <v>730717</v>
      </c>
      <c r="M72" t="s">
        <v>41</v>
      </c>
      <c r="R72" t="s">
        <v>539</v>
      </c>
      <c r="S72" t="s">
        <v>931</v>
      </c>
      <c r="U72" t="s">
        <v>932</v>
      </c>
      <c r="V72" t="s">
        <v>51</v>
      </c>
      <c r="W72" s="6">
        <v>34471</v>
      </c>
      <c r="Y72" t="s">
        <v>989</v>
      </c>
      <c r="AC72" t="s">
        <v>79</v>
      </c>
      <c r="AD72" s="6">
        <v>46437</v>
      </c>
      <c r="AE72" t="s">
        <v>985</v>
      </c>
      <c r="AH72" t="s">
        <v>80</v>
      </c>
      <c r="AI72" t="s">
        <v>428</v>
      </c>
      <c r="AJ72" t="s">
        <v>428</v>
      </c>
    </row>
    <row r="73" spans="1:36" x14ac:dyDescent="0.2">
      <c r="A73" t="s">
        <v>736</v>
      </c>
      <c r="B73" t="s">
        <v>37</v>
      </c>
      <c r="C73" t="s">
        <v>149</v>
      </c>
      <c r="D73" t="s">
        <v>195</v>
      </c>
      <c r="E73" t="s">
        <v>721</v>
      </c>
      <c r="F73" t="s">
        <v>357</v>
      </c>
      <c r="G73">
        <v>84362938</v>
      </c>
      <c r="J73" t="s">
        <v>40</v>
      </c>
      <c r="L73">
        <v>738471</v>
      </c>
      <c r="M73" t="s">
        <v>41</v>
      </c>
      <c r="R73" t="s">
        <v>539</v>
      </c>
      <c r="S73" t="s">
        <v>933</v>
      </c>
      <c r="U73" t="s">
        <v>934</v>
      </c>
      <c r="V73" t="s">
        <v>43</v>
      </c>
      <c r="W73" s="6">
        <v>25604</v>
      </c>
      <c r="AC73" t="s">
        <v>358</v>
      </c>
      <c r="AD73" s="6">
        <v>45702</v>
      </c>
      <c r="AE73" t="s">
        <v>696</v>
      </c>
      <c r="AH73" t="s">
        <v>359</v>
      </c>
      <c r="AI73" t="s">
        <v>428</v>
      </c>
      <c r="AJ73" t="s">
        <v>428</v>
      </c>
    </row>
    <row r="74" spans="1:36" x14ac:dyDescent="0.2">
      <c r="A74" t="s">
        <v>737</v>
      </c>
      <c r="B74" t="s">
        <v>37</v>
      </c>
      <c r="C74" t="s">
        <v>127</v>
      </c>
      <c r="D74" t="s">
        <v>128</v>
      </c>
      <c r="E74" t="s">
        <v>740</v>
      </c>
      <c r="F74" t="s">
        <v>129</v>
      </c>
      <c r="G74">
        <v>91484260</v>
      </c>
      <c r="J74" t="s">
        <v>130</v>
      </c>
      <c r="L74">
        <v>730626</v>
      </c>
      <c r="M74" t="s">
        <v>41</v>
      </c>
      <c r="R74" t="s">
        <v>539</v>
      </c>
      <c r="S74" t="s">
        <v>935</v>
      </c>
      <c r="U74" t="s">
        <v>936</v>
      </c>
      <c r="V74" t="s">
        <v>51</v>
      </c>
      <c r="W74" s="6">
        <v>36414</v>
      </c>
      <c r="Y74" t="s">
        <v>989</v>
      </c>
      <c r="AD74" s="6" t="s">
        <v>428</v>
      </c>
      <c r="AE74" t="s">
        <v>985</v>
      </c>
      <c r="AH74" t="s">
        <v>131</v>
      </c>
      <c r="AI74" t="s">
        <v>428</v>
      </c>
      <c r="AJ74" t="s">
        <v>428</v>
      </c>
    </row>
    <row r="75" spans="1:36" x14ac:dyDescent="0.2">
      <c r="A75" t="s">
        <v>738</v>
      </c>
      <c r="B75" t="s">
        <v>37</v>
      </c>
      <c r="C75" t="s">
        <v>81</v>
      </c>
      <c r="D75" t="s">
        <v>360</v>
      </c>
      <c r="E75" t="s">
        <v>721</v>
      </c>
      <c r="F75" t="s">
        <v>361</v>
      </c>
      <c r="G75">
        <v>96261017</v>
      </c>
      <c r="J75" t="s">
        <v>362</v>
      </c>
      <c r="L75">
        <v>680627</v>
      </c>
      <c r="M75" t="s">
        <v>41</v>
      </c>
      <c r="R75" t="s">
        <v>540</v>
      </c>
      <c r="S75" t="s">
        <v>937</v>
      </c>
      <c r="U75" t="s">
        <v>938</v>
      </c>
      <c r="V75" t="s">
        <v>43</v>
      </c>
      <c r="W75" s="6">
        <v>20723</v>
      </c>
      <c r="AD75" s="6" t="s">
        <v>428</v>
      </c>
      <c r="AE75" t="s">
        <v>696</v>
      </c>
      <c r="AH75" t="s">
        <v>363</v>
      </c>
      <c r="AI75" t="s">
        <v>428</v>
      </c>
      <c r="AJ75" t="s">
        <v>428</v>
      </c>
    </row>
    <row r="76" spans="1:36" x14ac:dyDescent="0.2">
      <c r="A76" t="s">
        <v>364</v>
      </c>
      <c r="B76" t="s">
        <v>37</v>
      </c>
      <c r="C76" t="s">
        <v>81</v>
      </c>
      <c r="D76" t="s">
        <v>111</v>
      </c>
      <c r="E76" t="s">
        <v>698</v>
      </c>
      <c r="G76">
        <v>88902001</v>
      </c>
      <c r="J76" t="s">
        <v>40</v>
      </c>
      <c r="L76">
        <v>738471</v>
      </c>
      <c r="M76" t="s">
        <v>41</v>
      </c>
      <c r="R76" t="s">
        <v>539</v>
      </c>
      <c r="S76" t="s">
        <v>939</v>
      </c>
      <c r="U76" t="s">
        <v>940</v>
      </c>
      <c r="V76" t="s">
        <v>43</v>
      </c>
      <c r="W76" s="6">
        <v>30823</v>
      </c>
      <c r="Y76" t="s">
        <v>989</v>
      </c>
      <c r="AD76" s="6" t="s">
        <v>428</v>
      </c>
      <c r="AE76" t="s">
        <v>985</v>
      </c>
      <c r="AH76" t="s">
        <v>365</v>
      </c>
      <c r="AI76" t="s">
        <v>428</v>
      </c>
      <c r="AJ76" t="s">
        <v>428</v>
      </c>
    </row>
    <row r="77" spans="1:36" x14ac:dyDescent="0.2">
      <c r="A77" t="s">
        <v>739</v>
      </c>
      <c r="B77" t="s">
        <v>37</v>
      </c>
      <c r="C77" t="s">
        <v>38</v>
      </c>
      <c r="D77" t="s">
        <v>198</v>
      </c>
      <c r="E77" t="s">
        <v>691</v>
      </c>
      <c r="F77" t="s">
        <v>328</v>
      </c>
      <c r="G77">
        <v>97466505</v>
      </c>
      <c r="J77" t="s">
        <v>329</v>
      </c>
      <c r="L77">
        <v>730002</v>
      </c>
      <c r="M77" t="s">
        <v>41</v>
      </c>
      <c r="R77" t="s">
        <v>539</v>
      </c>
      <c r="S77" t="s">
        <v>941</v>
      </c>
      <c r="U77" t="s">
        <v>942</v>
      </c>
      <c r="V77" t="s">
        <v>51</v>
      </c>
      <c r="W77" s="6">
        <v>32192</v>
      </c>
      <c r="AD77" s="6" t="s">
        <v>428</v>
      </c>
      <c r="AE77" t="s">
        <v>696</v>
      </c>
      <c r="AH77" t="s">
        <v>330</v>
      </c>
      <c r="AI77" t="s">
        <v>428</v>
      </c>
      <c r="AJ77" t="s">
        <v>428</v>
      </c>
    </row>
    <row r="78" spans="1:36" x14ac:dyDescent="0.2">
      <c r="A78" t="s">
        <v>740</v>
      </c>
      <c r="B78" t="s">
        <v>37</v>
      </c>
      <c r="C78" t="s">
        <v>127</v>
      </c>
      <c r="D78" t="s">
        <v>164</v>
      </c>
      <c r="E78" t="s">
        <v>691</v>
      </c>
      <c r="F78" t="s">
        <v>165</v>
      </c>
      <c r="G78">
        <v>91080196</v>
      </c>
      <c r="J78" t="s">
        <v>166</v>
      </c>
      <c r="L78">
        <v>768434</v>
      </c>
      <c r="M78" t="s">
        <v>41</v>
      </c>
      <c r="R78" t="s">
        <v>539</v>
      </c>
      <c r="S78" t="s">
        <v>943</v>
      </c>
      <c r="U78" t="s">
        <v>944</v>
      </c>
      <c r="V78" t="s">
        <v>51</v>
      </c>
      <c r="W78" s="6">
        <v>25463</v>
      </c>
      <c r="AD78" s="6" t="s">
        <v>428</v>
      </c>
      <c r="AE78" t="s">
        <v>985</v>
      </c>
      <c r="AH78" t="s">
        <v>167</v>
      </c>
      <c r="AI78" t="s">
        <v>428</v>
      </c>
      <c r="AJ78" t="s">
        <v>428</v>
      </c>
    </row>
    <row r="79" spans="1:36" s="2" customFormat="1" x14ac:dyDescent="0.2">
      <c r="A79" t="s">
        <v>366</v>
      </c>
      <c r="B79" t="s">
        <v>37</v>
      </c>
      <c r="C79" t="s">
        <v>81</v>
      </c>
      <c r="D79" t="s">
        <v>367</v>
      </c>
      <c r="E79" t="s">
        <v>698</v>
      </c>
      <c r="F79"/>
      <c r="G79">
        <v>98834167</v>
      </c>
      <c r="H79"/>
      <c r="I79"/>
      <c r="J79" t="s">
        <v>368</v>
      </c>
      <c r="K79"/>
      <c r="L79">
        <v>730660</v>
      </c>
      <c r="M79" t="s">
        <v>41</v>
      </c>
      <c r="N79"/>
      <c r="O79"/>
      <c r="P79"/>
      <c r="Q79"/>
      <c r="R79" t="s">
        <v>821</v>
      </c>
      <c r="S79" t="s">
        <v>945</v>
      </c>
      <c r="T79"/>
      <c r="U79" t="s">
        <v>946</v>
      </c>
      <c r="V79" t="s">
        <v>43</v>
      </c>
      <c r="W79" s="6">
        <v>32959</v>
      </c>
      <c r="X79"/>
      <c r="Y79"/>
      <c r="Z79"/>
      <c r="AA79"/>
      <c r="AB79"/>
      <c r="AC79" t="s">
        <v>369</v>
      </c>
      <c r="AD79" s="6">
        <v>45386</v>
      </c>
      <c r="AE79" t="s">
        <v>696</v>
      </c>
      <c r="AF79"/>
      <c r="AG79" s="3"/>
      <c r="AH79" t="s">
        <v>370</v>
      </c>
      <c r="AI79" t="s">
        <v>428</v>
      </c>
      <c r="AJ79" t="s">
        <v>428</v>
      </c>
    </row>
    <row r="80" spans="1:36" x14ac:dyDescent="0.2">
      <c r="A80" t="s">
        <v>371</v>
      </c>
      <c r="B80" t="s">
        <v>37</v>
      </c>
      <c r="C80" t="s">
        <v>81</v>
      </c>
      <c r="D80" t="s">
        <v>372</v>
      </c>
      <c r="E80" t="s">
        <v>698</v>
      </c>
      <c r="G80">
        <v>82150236</v>
      </c>
      <c r="J80" t="s">
        <v>373</v>
      </c>
      <c r="L80">
        <v>730660</v>
      </c>
      <c r="M80" t="s">
        <v>41</v>
      </c>
      <c r="R80" t="s">
        <v>821</v>
      </c>
      <c r="S80" t="s">
        <v>947</v>
      </c>
      <c r="U80" t="s">
        <v>948</v>
      </c>
      <c r="V80" t="s">
        <v>43</v>
      </c>
      <c r="W80" s="6">
        <v>35372</v>
      </c>
      <c r="AD80" s="6" t="s">
        <v>428</v>
      </c>
      <c r="AE80" t="s">
        <v>696</v>
      </c>
      <c r="AH80" t="s">
        <v>374</v>
      </c>
      <c r="AI80" t="s">
        <v>428</v>
      </c>
      <c r="AJ80" t="s">
        <v>428</v>
      </c>
    </row>
    <row r="81" spans="1:36" x14ac:dyDescent="0.2">
      <c r="A81" t="s">
        <v>380</v>
      </c>
      <c r="B81" t="s">
        <v>37</v>
      </c>
      <c r="C81" t="s">
        <v>81</v>
      </c>
      <c r="D81" t="s">
        <v>250</v>
      </c>
      <c r="E81" t="s">
        <v>698</v>
      </c>
      <c r="G81">
        <v>94778202</v>
      </c>
      <c r="J81" t="s">
        <v>40</v>
      </c>
      <c r="L81">
        <v>738471</v>
      </c>
      <c r="M81" t="s">
        <v>41</v>
      </c>
      <c r="R81" t="s">
        <v>539</v>
      </c>
      <c r="S81" t="s">
        <v>951</v>
      </c>
      <c r="U81" t="s">
        <v>952</v>
      </c>
      <c r="V81" t="s">
        <v>43</v>
      </c>
      <c r="W81" s="6">
        <v>30438</v>
      </c>
      <c r="AD81" s="6" t="s">
        <v>428</v>
      </c>
      <c r="AE81" t="s">
        <v>696</v>
      </c>
      <c r="AH81" t="s">
        <v>381</v>
      </c>
      <c r="AI81" t="s">
        <v>428</v>
      </c>
      <c r="AJ81" t="s">
        <v>428</v>
      </c>
    </row>
    <row r="82" spans="1:36" x14ac:dyDescent="0.2">
      <c r="A82" t="s">
        <v>741</v>
      </c>
      <c r="B82" t="s">
        <v>37</v>
      </c>
      <c r="C82" t="s">
        <v>149</v>
      </c>
      <c r="D82" t="s">
        <v>150</v>
      </c>
      <c r="E82" t="s">
        <v>736</v>
      </c>
      <c r="F82" t="s">
        <v>385</v>
      </c>
      <c r="G82">
        <v>84104450</v>
      </c>
      <c r="J82" t="s">
        <v>40</v>
      </c>
      <c r="L82">
        <v>738471</v>
      </c>
      <c r="M82" t="s">
        <v>41</v>
      </c>
      <c r="R82" t="s">
        <v>539</v>
      </c>
      <c r="S82" t="s">
        <v>953</v>
      </c>
      <c r="U82" t="s">
        <v>954</v>
      </c>
      <c r="V82" t="s">
        <v>43</v>
      </c>
      <c r="W82" s="6">
        <v>31006</v>
      </c>
      <c r="AD82" s="6" t="s">
        <v>428</v>
      </c>
      <c r="AE82" t="s">
        <v>696</v>
      </c>
      <c r="AH82" t="s">
        <v>386</v>
      </c>
      <c r="AI82" t="s">
        <v>428</v>
      </c>
      <c r="AJ82" t="s">
        <v>428</v>
      </c>
    </row>
    <row r="83" spans="1:36" x14ac:dyDescent="0.2">
      <c r="A83" t="s">
        <v>742</v>
      </c>
      <c r="B83" t="s">
        <v>37</v>
      </c>
      <c r="C83" t="s">
        <v>132</v>
      </c>
      <c r="D83" t="s">
        <v>387</v>
      </c>
      <c r="E83" t="s">
        <v>433</v>
      </c>
      <c r="F83" t="s">
        <v>388</v>
      </c>
      <c r="G83">
        <v>83742919</v>
      </c>
      <c r="J83" t="s">
        <v>389</v>
      </c>
      <c r="L83">
        <v>733689</v>
      </c>
      <c r="M83" t="s">
        <v>41</v>
      </c>
      <c r="R83" t="s">
        <v>539</v>
      </c>
      <c r="S83" t="s">
        <v>955</v>
      </c>
      <c r="U83" t="s">
        <v>956</v>
      </c>
      <c r="V83" t="s">
        <v>51</v>
      </c>
      <c r="W83" s="6">
        <v>36018</v>
      </c>
      <c r="Y83" t="s">
        <v>989</v>
      </c>
      <c r="AD83" s="6" t="s">
        <v>428</v>
      </c>
      <c r="AE83" t="s">
        <v>985</v>
      </c>
      <c r="AH83" t="s">
        <v>390</v>
      </c>
      <c r="AI83" t="s">
        <v>428</v>
      </c>
      <c r="AJ83" t="s">
        <v>428</v>
      </c>
    </row>
    <row r="84" spans="1:36" x14ac:dyDescent="0.2">
      <c r="A84" t="s">
        <v>391</v>
      </c>
      <c r="B84" t="s">
        <v>37</v>
      </c>
      <c r="C84" t="s">
        <v>81</v>
      </c>
      <c r="D84" t="s">
        <v>111</v>
      </c>
      <c r="E84" t="s">
        <v>698</v>
      </c>
      <c r="G84">
        <v>84543870</v>
      </c>
      <c r="J84" t="s">
        <v>40</v>
      </c>
      <c r="L84">
        <v>738471</v>
      </c>
      <c r="M84" t="s">
        <v>41</v>
      </c>
      <c r="R84" t="s">
        <v>539</v>
      </c>
      <c r="S84" t="s">
        <v>957</v>
      </c>
      <c r="U84" t="s">
        <v>958</v>
      </c>
      <c r="V84" t="s">
        <v>43</v>
      </c>
      <c r="W84" s="6">
        <v>33619</v>
      </c>
      <c r="AD84" s="6" t="s">
        <v>428</v>
      </c>
      <c r="AE84" t="s">
        <v>985</v>
      </c>
      <c r="AH84" t="s">
        <v>392</v>
      </c>
      <c r="AI84" t="s">
        <v>428</v>
      </c>
      <c r="AJ84" t="s">
        <v>428</v>
      </c>
    </row>
    <row r="85" spans="1:36" x14ac:dyDescent="0.2">
      <c r="A85" t="s">
        <v>743</v>
      </c>
      <c r="B85" t="s">
        <v>37</v>
      </c>
      <c r="C85" t="s">
        <v>54</v>
      </c>
      <c r="D85" t="s">
        <v>397</v>
      </c>
      <c r="E85" t="s">
        <v>686</v>
      </c>
      <c r="F85" t="s">
        <v>398</v>
      </c>
      <c r="G85">
        <v>83866941</v>
      </c>
      <c r="J85" t="s">
        <v>399</v>
      </c>
      <c r="L85">
        <v>650341</v>
      </c>
      <c r="M85" t="s">
        <v>41</v>
      </c>
      <c r="R85" t="s">
        <v>540</v>
      </c>
      <c r="S85" t="s">
        <v>959</v>
      </c>
      <c r="U85" t="s">
        <v>960</v>
      </c>
      <c r="V85" t="s">
        <v>51</v>
      </c>
      <c r="W85" s="6">
        <v>31753</v>
      </c>
      <c r="AD85" s="6" t="s">
        <v>428</v>
      </c>
      <c r="AE85" t="s">
        <v>696</v>
      </c>
      <c r="AH85" t="s">
        <v>400</v>
      </c>
      <c r="AI85" t="s">
        <v>428</v>
      </c>
      <c r="AJ85" t="s">
        <v>428</v>
      </c>
    </row>
    <row r="86" spans="1:36" x14ac:dyDescent="0.2">
      <c r="A86" t="s">
        <v>744</v>
      </c>
      <c r="B86" t="s">
        <v>37</v>
      </c>
      <c r="C86" t="s">
        <v>48</v>
      </c>
      <c r="D86" t="s">
        <v>198</v>
      </c>
      <c r="E86" t="s">
        <v>691</v>
      </c>
      <c r="F86" t="s">
        <v>199</v>
      </c>
      <c r="G86">
        <v>82884791</v>
      </c>
      <c r="J86" t="s">
        <v>200</v>
      </c>
      <c r="L86">
        <v>371017</v>
      </c>
      <c r="M86" t="s">
        <v>41</v>
      </c>
      <c r="R86" t="s">
        <v>540</v>
      </c>
      <c r="S86" t="s">
        <v>961</v>
      </c>
      <c r="U86" t="s">
        <v>962</v>
      </c>
      <c r="V86" t="s">
        <v>43</v>
      </c>
      <c r="W86" s="6">
        <v>31054</v>
      </c>
      <c r="AD86" s="6" t="s">
        <v>428</v>
      </c>
      <c r="AE86" t="s">
        <v>696</v>
      </c>
      <c r="AH86" t="s">
        <v>201</v>
      </c>
      <c r="AI86" t="s">
        <v>428</v>
      </c>
      <c r="AJ86" t="s">
        <v>428</v>
      </c>
    </row>
    <row r="87" spans="1:36" x14ac:dyDescent="0.2">
      <c r="A87" t="s">
        <v>745</v>
      </c>
      <c r="B87" t="s">
        <v>37</v>
      </c>
      <c r="C87" t="s">
        <v>123</v>
      </c>
      <c r="D87" t="s">
        <v>393</v>
      </c>
      <c r="E87" t="s">
        <v>728</v>
      </c>
      <c r="F87" t="s">
        <v>394</v>
      </c>
      <c r="G87">
        <v>96624669</v>
      </c>
      <c r="J87" t="s">
        <v>395</v>
      </c>
      <c r="L87">
        <v>760320</v>
      </c>
      <c r="M87" t="s">
        <v>41</v>
      </c>
      <c r="R87" t="s">
        <v>539</v>
      </c>
      <c r="S87" t="s">
        <v>963</v>
      </c>
      <c r="U87" t="s">
        <v>964</v>
      </c>
      <c r="V87" t="s">
        <v>51</v>
      </c>
      <c r="W87" s="6">
        <v>32709</v>
      </c>
      <c r="AD87" s="6" t="s">
        <v>428</v>
      </c>
      <c r="AE87" t="s">
        <v>696</v>
      </c>
      <c r="AH87" t="s">
        <v>396</v>
      </c>
      <c r="AI87" t="s">
        <v>428</v>
      </c>
      <c r="AJ87" t="s">
        <v>428</v>
      </c>
    </row>
    <row r="88" spans="1:36" x14ac:dyDescent="0.2">
      <c r="A88" t="s">
        <v>746</v>
      </c>
      <c r="B88" t="s">
        <v>37</v>
      </c>
      <c r="C88" t="s">
        <v>81</v>
      </c>
      <c r="D88" t="s">
        <v>367</v>
      </c>
      <c r="E88" t="s">
        <v>698</v>
      </c>
      <c r="G88">
        <v>96519270</v>
      </c>
      <c r="J88" t="s">
        <v>40</v>
      </c>
      <c r="L88">
        <v>738471</v>
      </c>
      <c r="M88" t="s">
        <v>41</v>
      </c>
      <c r="R88" t="s">
        <v>986</v>
      </c>
      <c r="S88" t="s">
        <v>965</v>
      </c>
      <c r="U88" t="s">
        <v>966</v>
      </c>
      <c r="V88" t="s">
        <v>43</v>
      </c>
      <c r="W88" s="6">
        <v>28635</v>
      </c>
      <c r="Y88" t="s">
        <v>988</v>
      </c>
      <c r="AD88" s="6" t="s">
        <v>428</v>
      </c>
      <c r="AE88" t="s">
        <v>696</v>
      </c>
      <c r="AH88" t="s">
        <v>980</v>
      </c>
      <c r="AI88" t="s">
        <v>428</v>
      </c>
      <c r="AJ88" t="s">
        <v>428</v>
      </c>
    </row>
    <row r="89" spans="1:36" x14ac:dyDescent="0.2">
      <c r="A89" t="s">
        <v>407</v>
      </c>
      <c r="B89" t="s">
        <v>37</v>
      </c>
      <c r="C89" t="s">
        <v>81</v>
      </c>
      <c r="D89" t="s">
        <v>111</v>
      </c>
      <c r="E89" t="s">
        <v>698</v>
      </c>
      <c r="G89">
        <v>84623106</v>
      </c>
      <c r="J89" t="s">
        <v>40</v>
      </c>
      <c r="L89">
        <v>738471</v>
      </c>
      <c r="M89" t="s">
        <v>41</v>
      </c>
      <c r="R89" t="s">
        <v>986</v>
      </c>
      <c r="S89" t="s">
        <v>967</v>
      </c>
      <c r="U89" t="s">
        <v>968</v>
      </c>
      <c r="V89" t="s">
        <v>43</v>
      </c>
      <c r="W89" s="6">
        <v>29174</v>
      </c>
      <c r="Y89" t="s">
        <v>988</v>
      </c>
      <c r="AD89" s="6" t="s">
        <v>428</v>
      </c>
      <c r="AE89" t="s">
        <v>696</v>
      </c>
      <c r="AH89" t="s">
        <v>408</v>
      </c>
      <c r="AI89" t="s">
        <v>428</v>
      </c>
      <c r="AJ89" t="s">
        <v>428</v>
      </c>
    </row>
    <row r="90" spans="1:36" x14ac:dyDescent="0.2">
      <c r="A90" t="s">
        <v>409</v>
      </c>
      <c r="B90" t="s">
        <v>37</v>
      </c>
      <c r="C90" t="s">
        <v>81</v>
      </c>
      <c r="D90" t="s">
        <v>146</v>
      </c>
      <c r="E90" t="s">
        <v>698</v>
      </c>
      <c r="G90">
        <v>83601980</v>
      </c>
      <c r="J90" t="s">
        <v>40</v>
      </c>
      <c r="L90">
        <v>738471</v>
      </c>
      <c r="M90" t="s">
        <v>41</v>
      </c>
      <c r="R90" t="s">
        <v>986</v>
      </c>
      <c r="S90" t="s">
        <v>969</v>
      </c>
      <c r="U90" t="s">
        <v>970</v>
      </c>
      <c r="V90" t="s">
        <v>43</v>
      </c>
      <c r="W90" s="6">
        <v>34443</v>
      </c>
      <c r="AD90" s="6" t="s">
        <v>428</v>
      </c>
      <c r="AE90" t="s">
        <v>985</v>
      </c>
      <c r="AH90" t="s">
        <v>410</v>
      </c>
      <c r="AI90" t="s">
        <v>428</v>
      </c>
      <c r="AJ90" t="s">
        <v>428</v>
      </c>
    </row>
    <row r="91" spans="1:36" x14ac:dyDescent="0.2">
      <c r="A91" t="s">
        <v>411</v>
      </c>
      <c r="B91" t="s">
        <v>37</v>
      </c>
      <c r="C91" t="s">
        <v>81</v>
      </c>
      <c r="D91" t="s">
        <v>111</v>
      </c>
      <c r="E91" t="s">
        <v>698</v>
      </c>
      <c r="G91">
        <v>98407966</v>
      </c>
      <c r="J91" t="s">
        <v>40</v>
      </c>
      <c r="L91">
        <v>738471</v>
      </c>
      <c r="M91" t="s">
        <v>41</v>
      </c>
      <c r="R91" t="s">
        <v>986</v>
      </c>
      <c r="S91" t="s">
        <v>971</v>
      </c>
      <c r="U91" t="s">
        <v>972</v>
      </c>
      <c r="V91" t="s">
        <v>43</v>
      </c>
      <c r="W91" s="6">
        <v>28535</v>
      </c>
      <c r="Y91" t="s">
        <v>988</v>
      </c>
      <c r="AD91" s="6" t="s">
        <v>428</v>
      </c>
      <c r="AE91" t="s">
        <v>696</v>
      </c>
      <c r="AH91" t="s">
        <v>412</v>
      </c>
      <c r="AI91" t="s">
        <v>428</v>
      </c>
      <c r="AJ91" t="s">
        <v>428</v>
      </c>
    </row>
    <row r="92" spans="1:36" s="9" customFormat="1" x14ac:dyDescent="0.2">
      <c r="A92" s="9" t="s">
        <v>89</v>
      </c>
      <c r="B92" s="9" t="s">
        <v>37</v>
      </c>
      <c r="C92" s="9" t="s">
        <v>90</v>
      </c>
      <c r="D92" s="9" t="s">
        <v>91</v>
      </c>
      <c r="E92" s="9" t="s">
        <v>691</v>
      </c>
      <c r="F92" s="9" t="s">
        <v>92</v>
      </c>
      <c r="G92" s="9">
        <v>97487489</v>
      </c>
      <c r="J92" s="9" t="s">
        <v>771</v>
      </c>
      <c r="L92" s="9">
        <v>98652</v>
      </c>
      <c r="M92" s="9" t="s">
        <v>41</v>
      </c>
      <c r="R92" s="9" t="s">
        <v>540</v>
      </c>
      <c r="S92" s="9" t="s">
        <v>772</v>
      </c>
      <c r="U92" s="9" t="s">
        <v>773</v>
      </c>
      <c r="V92" s="9" t="s">
        <v>43</v>
      </c>
      <c r="W92" s="10">
        <v>25848</v>
      </c>
      <c r="AD92" s="10" t="s">
        <v>428</v>
      </c>
      <c r="AE92" s="9" t="s">
        <v>696</v>
      </c>
      <c r="AF92" s="9">
        <v>0</v>
      </c>
      <c r="AG92" s="11">
        <f>VLOOKUP(D92,lookup!$A$2:$B$57,2,1)</f>
        <v>36</v>
      </c>
      <c r="AH92" s="9" t="s">
        <v>93</v>
      </c>
      <c r="AI92" s="9" t="s">
        <v>428</v>
      </c>
      <c r="AJ92" s="9" t="s">
        <v>428</v>
      </c>
    </row>
    <row r="93" spans="1:36" s="9" customFormat="1" x14ac:dyDescent="0.2">
      <c r="A93" s="9" t="s">
        <v>316</v>
      </c>
      <c r="B93" s="9" t="s">
        <v>37</v>
      </c>
      <c r="C93" s="9" t="s">
        <v>90</v>
      </c>
      <c r="D93" s="9" t="s">
        <v>171</v>
      </c>
      <c r="E93" s="9" t="s">
        <v>89</v>
      </c>
      <c r="F93" s="9" t="s">
        <v>317</v>
      </c>
      <c r="G93" s="9">
        <v>98463930</v>
      </c>
      <c r="J93" s="9" t="s">
        <v>318</v>
      </c>
      <c r="L93" s="9">
        <v>520209</v>
      </c>
      <c r="M93" s="9" t="s">
        <v>41</v>
      </c>
      <c r="R93" s="9" t="s">
        <v>540</v>
      </c>
      <c r="S93" s="9" t="s">
        <v>905</v>
      </c>
      <c r="U93" s="9" t="s">
        <v>906</v>
      </c>
      <c r="V93" s="9" t="s">
        <v>43</v>
      </c>
      <c r="W93" s="10">
        <v>29748</v>
      </c>
      <c r="AD93" s="10" t="s">
        <v>428</v>
      </c>
      <c r="AE93" s="9" t="s">
        <v>985</v>
      </c>
      <c r="AF93" s="9">
        <v>0</v>
      </c>
      <c r="AG93" s="11">
        <f>VLOOKUP(D93,lookup!$A$2:$B$57,2,1)</f>
        <v>0</v>
      </c>
      <c r="AH93" s="9" t="s">
        <v>319</v>
      </c>
      <c r="AI93" s="9" t="s">
        <v>428</v>
      </c>
      <c r="AJ93" s="9" t="s">
        <v>428</v>
      </c>
    </row>
    <row r="94" spans="1:36" s="9" customFormat="1" x14ac:dyDescent="0.2">
      <c r="A94" s="9" t="s">
        <v>139</v>
      </c>
      <c r="B94" s="9" t="s">
        <v>37</v>
      </c>
      <c r="C94" s="9" t="s">
        <v>140</v>
      </c>
      <c r="D94" s="9" t="s">
        <v>141</v>
      </c>
      <c r="E94" s="9" t="s">
        <v>142</v>
      </c>
      <c r="G94" s="9">
        <v>82662120</v>
      </c>
      <c r="J94" s="9" t="s">
        <v>40</v>
      </c>
      <c r="L94" s="9">
        <v>738471</v>
      </c>
      <c r="M94" s="9" t="s">
        <v>41</v>
      </c>
      <c r="R94" s="9" t="s">
        <v>539</v>
      </c>
      <c r="S94" s="9" t="s">
        <v>805</v>
      </c>
      <c r="U94" s="9" t="s">
        <v>806</v>
      </c>
      <c r="V94" s="9" t="s">
        <v>43</v>
      </c>
      <c r="W94" s="10">
        <v>26374</v>
      </c>
      <c r="Y94" s="9" t="s">
        <v>989</v>
      </c>
      <c r="AD94" s="10" t="s">
        <v>428</v>
      </c>
      <c r="AE94" s="9" t="s">
        <v>985</v>
      </c>
      <c r="AF94" s="9">
        <v>0</v>
      </c>
      <c r="AG94" s="11">
        <f>VLOOKUP(D94,lookup!$A$2:$B$57,2,1)</f>
        <v>0</v>
      </c>
      <c r="AH94" s="9" t="s">
        <v>143</v>
      </c>
      <c r="AI94" s="9" t="s">
        <v>428</v>
      </c>
      <c r="AJ94" s="9" t="s">
        <v>428</v>
      </c>
    </row>
    <row r="95" spans="1:36" s="9" customFormat="1" x14ac:dyDescent="0.2">
      <c r="A95" s="9" t="s">
        <v>142</v>
      </c>
      <c r="B95" s="9" t="s">
        <v>37</v>
      </c>
      <c r="C95" s="9" t="s">
        <v>140</v>
      </c>
      <c r="D95" s="9" t="s">
        <v>228</v>
      </c>
      <c r="E95" s="9" t="s">
        <v>691</v>
      </c>
      <c r="F95" s="9" t="s">
        <v>229</v>
      </c>
      <c r="G95" s="9">
        <v>92702490</v>
      </c>
      <c r="J95" s="9" t="s">
        <v>230</v>
      </c>
      <c r="L95" s="9">
        <v>320123</v>
      </c>
      <c r="M95" s="9" t="s">
        <v>41</v>
      </c>
      <c r="R95" s="9" t="s">
        <v>540</v>
      </c>
      <c r="S95" s="9" t="s">
        <v>843</v>
      </c>
      <c r="U95" s="9" t="s">
        <v>844</v>
      </c>
      <c r="V95" s="9" t="s">
        <v>43</v>
      </c>
      <c r="W95" s="10">
        <v>26265</v>
      </c>
      <c r="Y95" s="9" t="s">
        <v>989</v>
      </c>
      <c r="AD95" s="10" t="s">
        <v>428</v>
      </c>
      <c r="AE95" s="9" t="s">
        <v>696</v>
      </c>
      <c r="AF95" s="9">
        <v>0</v>
      </c>
      <c r="AG95" s="11">
        <f>VLOOKUP(D95,lookup!$A$2:$B$57,2,1)</f>
        <v>0</v>
      </c>
      <c r="AH95" s="9" t="s">
        <v>231</v>
      </c>
      <c r="AI95" s="9" t="s">
        <v>428</v>
      </c>
      <c r="AJ95" s="9" t="s">
        <v>428</v>
      </c>
    </row>
    <row r="96" spans="1:36" s="9" customFormat="1" x14ac:dyDescent="0.2">
      <c r="A96" s="9" t="s">
        <v>57</v>
      </c>
      <c r="B96" s="9" t="s">
        <v>37</v>
      </c>
      <c r="C96" s="9" t="s">
        <v>58</v>
      </c>
      <c r="D96" s="9" t="s">
        <v>59</v>
      </c>
      <c r="E96" s="9" t="s">
        <v>707</v>
      </c>
      <c r="G96" s="9">
        <v>90554501</v>
      </c>
      <c r="J96" s="9" t="s">
        <v>40</v>
      </c>
      <c r="L96" s="9">
        <v>738471</v>
      </c>
      <c r="M96" s="9" t="s">
        <v>41</v>
      </c>
      <c r="R96" s="9" t="s">
        <v>60</v>
      </c>
      <c r="S96" s="9" t="s">
        <v>761</v>
      </c>
      <c r="U96" s="9" t="s">
        <v>762</v>
      </c>
      <c r="V96" s="9" t="s">
        <v>43</v>
      </c>
      <c r="W96" s="10">
        <v>33902</v>
      </c>
      <c r="Y96" s="9" t="s">
        <v>993</v>
      </c>
      <c r="AD96" s="10" t="s">
        <v>428</v>
      </c>
      <c r="AE96" s="9" t="s">
        <v>985</v>
      </c>
      <c r="AF96" s="9">
        <v>0</v>
      </c>
      <c r="AG96" s="11">
        <v>21</v>
      </c>
      <c r="AH96" s="9" t="s">
        <v>61</v>
      </c>
      <c r="AI96" s="9" t="s">
        <v>428</v>
      </c>
      <c r="AJ96" s="9" t="s">
        <v>428</v>
      </c>
    </row>
    <row r="97" spans="1:36" s="9" customFormat="1" x14ac:dyDescent="0.2">
      <c r="A97" s="9" t="s">
        <v>62</v>
      </c>
      <c r="B97" s="9" t="s">
        <v>37</v>
      </c>
      <c r="C97" s="9" t="s">
        <v>58</v>
      </c>
      <c r="D97" s="9" t="s">
        <v>63</v>
      </c>
      <c r="E97" s="9" t="s">
        <v>707</v>
      </c>
      <c r="F97" s="9" t="s">
        <v>64</v>
      </c>
      <c r="G97" s="9">
        <v>81938165</v>
      </c>
      <c r="J97" s="9" t="s">
        <v>65</v>
      </c>
      <c r="L97" s="9">
        <v>730511</v>
      </c>
      <c r="M97" s="9" t="s">
        <v>41</v>
      </c>
      <c r="R97" s="9" t="s">
        <v>60</v>
      </c>
      <c r="S97" s="9" t="s">
        <v>763</v>
      </c>
      <c r="U97" s="9" t="s">
        <v>764</v>
      </c>
      <c r="V97" s="9" t="s">
        <v>43</v>
      </c>
      <c r="W97" s="10">
        <v>34105</v>
      </c>
      <c r="Y97" s="9" t="s">
        <v>993</v>
      </c>
      <c r="AC97" s="9" t="s">
        <v>66</v>
      </c>
      <c r="AD97" s="10">
        <v>46799</v>
      </c>
      <c r="AE97" s="9" t="s">
        <v>985</v>
      </c>
      <c r="AF97" s="9">
        <v>0</v>
      </c>
      <c r="AG97" s="11">
        <v>21</v>
      </c>
      <c r="AH97" s="9" t="s">
        <v>67</v>
      </c>
      <c r="AI97" s="9" t="s">
        <v>428</v>
      </c>
      <c r="AJ97" s="9" t="s">
        <v>428</v>
      </c>
    </row>
    <row r="98" spans="1:36" s="9" customFormat="1" x14ac:dyDescent="0.2">
      <c r="A98" s="9" t="s">
        <v>704</v>
      </c>
      <c r="B98" s="9" t="s">
        <v>37</v>
      </c>
      <c r="C98" s="9" t="s">
        <v>58</v>
      </c>
      <c r="D98" s="9" t="s">
        <v>202</v>
      </c>
      <c r="E98" s="9" t="s">
        <v>707</v>
      </c>
      <c r="F98" s="9" t="s">
        <v>203</v>
      </c>
      <c r="G98" s="9">
        <v>89522657</v>
      </c>
      <c r="J98" s="9" t="s">
        <v>204</v>
      </c>
      <c r="L98" s="9">
        <v>752362</v>
      </c>
      <c r="M98" s="9" t="s">
        <v>41</v>
      </c>
      <c r="R98" s="9" t="s">
        <v>755</v>
      </c>
      <c r="S98" s="9" t="s">
        <v>788</v>
      </c>
      <c r="U98" s="9" t="s">
        <v>789</v>
      </c>
      <c r="V98" s="9" t="s">
        <v>43</v>
      </c>
      <c r="W98" s="10">
        <v>36221</v>
      </c>
      <c r="Y98" s="9" t="s">
        <v>987</v>
      </c>
      <c r="AC98" s="9" t="s">
        <v>205</v>
      </c>
      <c r="AD98" s="10">
        <v>46796</v>
      </c>
      <c r="AE98" s="9" t="s">
        <v>985</v>
      </c>
      <c r="AF98" s="9">
        <v>0</v>
      </c>
      <c r="AG98" s="11">
        <v>0</v>
      </c>
      <c r="AH98" s="9" t="s">
        <v>206</v>
      </c>
      <c r="AI98" s="9" t="s">
        <v>207</v>
      </c>
      <c r="AJ98" s="9" t="s">
        <v>208</v>
      </c>
    </row>
    <row r="99" spans="1:36" s="9" customFormat="1" x14ac:dyDescent="0.2">
      <c r="A99" s="9" t="s">
        <v>705</v>
      </c>
      <c r="B99" s="9" t="s">
        <v>37</v>
      </c>
      <c r="C99" s="9" t="s">
        <v>58</v>
      </c>
      <c r="D99" s="9" t="s">
        <v>179</v>
      </c>
      <c r="E99" s="9" t="s">
        <v>707</v>
      </c>
      <c r="F99" s="9" t="s">
        <v>180</v>
      </c>
      <c r="G99" s="9">
        <v>88943684</v>
      </c>
      <c r="J99" s="9" t="s">
        <v>181</v>
      </c>
      <c r="L99" s="9">
        <v>311153</v>
      </c>
      <c r="M99" s="9" t="s">
        <v>41</v>
      </c>
      <c r="R99" s="9" t="s">
        <v>755</v>
      </c>
      <c r="S99" s="9" t="s">
        <v>790</v>
      </c>
      <c r="U99" s="9" t="s">
        <v>791</v>
      </c>
      <c r="V99" s="9" t="s">
        <v>43</v>
      </c>
      <c r="W99" s="10">
        <v>36191</v>
      </c>
      <c r="Y99" s="9" t="s">
        <v>987</v>
      </c>
      <c r="AC99" s="9" t="s">
        <v>182</v>
      </c>
      <c r="AD99" s="10">
        <v>46385</v>
      </c>
      <c r="AE99" s="9" t="s">
        <v>985</v>
      </c>
      <c r="AF99" s="9">
        <v>0</v>
      </c>
      <c r="AG99" s="11">
        <v>0</v>
      </c>
      <c r="AH99" s="9" t="s">
        <v>183</v>
      </c>
      <c r="AI99" s="9" t="s">
        <v>428</v>
      </c>
      <c r="AJ99" s="9" t="s">
        <v>428</v>
      </c>
    </row>
    <row r="100" spans="1:36" s="9" customFormat="1" x14ac:dyDescent="0.2">
      <c r="A100" s="9" t="s">
        <v>707</v>
      </c>
      <c r="B100" s="9" t="s">
        <v>37</v>
      </c>
      <c r="C100" s="9" t="s">
        <v>58</v>
      </c>
      <c r="D100" s="9" t="s">
        <v>119</v>
      </c>
      <c r="E100" s="9" t="s">
        <v>691</v>
      </c>
      <c r="F100" s="9" t="s">
        <v>120</v>
      </c>
      <c r="G100" s="9">
        <v>96930361</v>
      </c>
      <c r="J100" s="9" t="s">
        <v>121</v>
      </c>
      <c r="L100" s="9">
        <v>759419</v>
      </c>
      <c r="M100" s="9" t="s">
        <v>41</v>
      </c>
      <c r="R100" s="9" t="s">
        <v>540</v>
      </c>
      <c r="S100" s="9" t="s">
        <v>799</v>
      </c>
      <c r="U100" s="9" t="s">
        <v>800</v>
      </c>
      <c r="V100" s="9" t="s">
        <v>43</v>
      </c>
      <c r="W100" s="10">
        <v>24858</v>
      </c>
      <c r="Y100" s="9" t="s">
        <v>991</v>
      </c>
      <c r="AD100" s="10" t="s">
        <v>428</v>
      </c>
      <c r="AE100" s="9" t="s">
        <v>696</v>
      </c>
      <c r="AF100" s="9">
        <v>0</v>
      </c>
      <c r="AG100" s="11">
        <v>0</v>
      </c>
      <c r="AH100" s="9" t="s">
        <v>122</v>
      </c>
      <c r="AI100" s="9" t="s">
        <v>428</v>
      </c>
      <c r="AJ100" s="9" t="s">
        <v>428</v>
      </c>
    </row>
    <row r="101" spans="1:36" s="9" customFormat="1" x14ac:dyDescent="0.2">
      <c r="A101" s="9" t="s">
        <v>168</v>
      </c>
      <c r="B101" s="9" t="s">
        <v>37</v>
      </c>
      <c r="C101" s="9" t="s">
        <v>58</v>
      </c>
      <c r="D101" s="9" t="s">
        <v>59</v>
      </c>
      <c r="E101" s="9" t="s">
        <v>707</v>
      </c>
      <c r="F101" s="9" t="s">
        <v>169</v>
      </c>
      <c r="G101" s="9">
        <v>81723644</v>
      </c>
      <c r="J101" s="9" t="s">
        <v>40</v>
      </c>
      <c r="L101" s="9">
        <v>738471</v>
      </c>
      <c r="M101" s="9" t="s">
        <v>41</v>
      </c>
      <c r="R101" s="9" t="s">
        <v>758</v>
      </c>
      <c r="S101" s="9" t="s">
        <v>818</v>
      </c>
      <c r="U101" s="9" t="s">
        <v>819</v>
      </c>
      <c r="V101" s="9" t="s">
        <v>43</v>
      </c>
      <c r="W101" s="10">
        <v>32022</v>
      </c>
      <c r="Y101" s="9" t="s">
        <v>990</v>
      </c>
      <c r="AD101" s="10" t="s">
        <v>428</v>
      </c>
      <c r="AE101" s="9" t="s">
        <v>985</v>
      </c>
      <c r="AF101" s="9">
        <v>0</v>
      </c>
      <c r="AG101" s="11">
        <v>21</v>
      </c>
      <c r="AH101" s="9" t="s">
        <v>170</v>
      </c>
      <c r="AI101" s="9" t="s">
        <v>428</v>
      </c>
      <c r="AJ101" s="9" t="s">
        <v>428</v>
      </c>
    </row>
    <row r="102" spans="1:36" s="9" customFormat="1" x14ac:dyDescent="0.2">
      <c r="A102" s="9" t="s">
        <v>177</v>
      </c>
      <c r="B102" s="9" t="s">
        <v>37</v>
      </c>
      <c r="C102" s="9" t="s">
        <v>58</v>
      </c>
      <c r="D102" s="9" t="s">
        <v>59</v>
      </c>
      <c r="E102" s="9" t="s">
        <v>707</v>
      </c>
      <c r="G102" s="9">
        <v>85106326</v>
      </c>
      <c r="J102" s="9" t="s">
        <v>40</v>
      </c>
      <c r="L102" s="9">
        <v>738471</v>
      </c>
      <c r="M102" s="9" t="s">
        <v>41</v>
      </c>
      <c r="R102" s="9" t="s">
        <v>821</v>
      </c>
      <c r="S102" s="9" t="s">
        <v>822</v>
      </c>
      <c r="U102" s="9" t="s">
        <v>823</v>
      </c>
      <c r="V102" s="9" t="s">
        <v>43</v>
      </c>
      <c r="W102" s="10">
        <v>29037</v>
      </c>
      <c r="Y102" s="9" t="s">
        <v>992</v>
      </c>
      <c r="AD102" s="10" t="s">
        <v>428</v>
      </c>
      <c r="AE102" s="9" t="s">
        <v>696</v>
      </c>
      <c r="AF102" s="9">
        <v>0</v>
      </c>
      <c r="AG102" s="11">
        <v>21</v>
      </c>
      <c r="AH102" s="9" t="s">
        <v>178</v>
      </c>
      <c r="AI102" s="9" t="s">
        <v>428</v>
      </c>
      <c r="AJ102" s="9" t="s">
        <v>428</v>
      </c>
    </row>
    <row r="103" spans="1:36" s="9" customFormat="1" x14ac:dyDescent="0.2">
      <c r="A103" s="9" t="s">
        <v>219</v>
      </c>
      <c r="B103" s="9" t="s">
        <v>37</v>
      </c>
      <c r="C103" s="9" t="s">
        <v>58</v>
      </c>
      <c r="D103" s="9" t="s">
        <v>144</v>
      </c>
      <c r="E103" s="9" t="s">
        <v>707</v>
      </c>
      <c r="F103" s="9" t="s">
        <v>220</v>
      </c>
      <c r="G103" s="9">
        <v>91125651</v>
      </c>
      <c r="J103" s="9" t="s">
        <v>221</v>
      </c>
      <c r="L103" s="9">
        <v>330055</v>
      </c>
      <c r="M103" s="9" t="s">
        <v>41</v>
      </c>
      <c r="R103" s="9" t="s">
        <v>540</v>
      </c>
      <c r="S103" s="9" t="s">
        <v>839</v>
      </c>
      <c r="U103" s="9" t="s">
        <v>840</v>
      </c>
      <c r="V103" s="9" t="s">
        <v>43</v>
      </c>
      <c r="W103" s="10">
        <v>34029</v>
      </c>
      <c r="Y103" s="9" t="s">
        <v>991</v>
      </c>
      <c r="AD103" s="10" t="s">
        <v>428</v>
      </c>
      <c r="AE103" s="9" t="s">
        <v>985</v>
      </c>
      <c r="AF103" s="9">
        <v>0</v>
      </c>
      <c r="AG103" s="11">
        <v>0</v>
      </c>
      <c r="AH103" s="9" t="s">
        <v>222</v>
      </c>
      <c r="AI103" s="9" t="s">
        <v>428</v>
      </c>
      <c r="AJ103" s="9" t="s">
        <v>428</v>
      </c>
    </row>
    <row r="104" spans="1:36" s="9" customFormat="1" x14ac:dyDescent="0.2">
      <c r="A104" s="9" t="s">
        <v>720</v>
      </c>
      <c r="B104" s="9" t="s">
        <v>37</v>
      </c>
      <c r="C104" s="9" t="s">
        <v>58</v>
      </c>
      <c r="D104" s="9" t="s">
        <v>796</v>
      </c>
      <c r="E104" s="9" t="s">
        <v>707</v>
      </c>
      <c r="G104" s="9">
        <v>82364014</v>
      </c>
      <c r="J104" s="9" t="s">
        <v>849</v>
      </c>
      <c r="L104" s="9">
        <v>532475</v>
      </c>
      <c r="M104" s="9" t="s">
        <v>41</v>
      </c>
      <c r="R104" s="9" t="s">
        <v>540</v>
      </c>
      <c r="S104" s="9" t="s">
        <v>850</v>
      </c>
      <c r="V104" s="9" t="s">
        <v>43</v>
      </c>
      <c r="W104" s="10">
        <v>36813</v>
      </c>
      <c r="Y104" s="9" t="s">
        <v>991</v>
      </c>
      <c r="AD104" s="10" t="s">
        <v>428</v>
      </c>
      <c r="AE104" s="9" t="s">
        <v>985</v>
      </c>
      <c r="AF104" s="9">
        <v>0</v>
      </c>
      <c r="AG104" s="11">
        <v>0</v>
      </c>
      <c r="AH104" s="9" t="s">
        <v>976</v>
      </c>
      <c r="AI104" s="9" t="s">
        <v>428</v>
      </c>
      <c r="AJ104" s="9" t="s">
        <v>428</v>
      </c>
    </row>
    <row r="105" spans="1:36" s="9" customFormat="1" x14ac:dyDescent="0.2">
      <c r="A105" s="9" t="s">
        <v>326</v>
      </c>
      <c r="B105" s="9" t="s">
        <v>37</v>
      </c>
      <c r="C105" s="9" t="s">
        <v>58</v>
      </c>
      <c r="D105" s="9" t="s">
        <v>179</v>
      </c>
      <c r="E105" s="9" t="s">
        <v>707</v>
      </c>
      <c r="G105" s="12" t="s">
        <v>984</v>
      </c>
      <c r="J105" s="9" t="s">
        <v>40</v>
      </c>
      <c r="L105" s="9">
        <v>738471</v>
      </c>
      <c r="M105" s="9" t="s">
        <v>41</v>
      </c>
      <c r="R105" s="9" t="s">
        <v>755</v>
      </c>
      <c r="U105" s="9" t="s">
        <v>918</v>
      </c>
      <c r="V105" s="9" t="s">
        <v>43</v>
      </c>
      <c r="W105" s="10">
        <v>35413</v>
      </c>
      <c r="Y105" s="9" t="s">
        <v>987</v>
      </c>
      <c r="AD105" s="10" t="s">
        <v>428</v>
      </c>
      <c r="AE105" s="9" t="s">
        <v>985</v>
      </c>
      <c r="AF105" s="9">
        <v>0</v>
      </c>
      <c r="AG105" s="11">
        <v>0</v>
      </c>
      <c r="AH105" s="9" t="s">
        <v>327</v>
      </c>
      <c r="AI105" s="9" t="s">
        <v>428</v>
      </c>
      <c r="AJ105" s="9" t="s">
        <v>428</v>
      </c>
    </row>
    <row r="106" spans="1:36" s="9" customFormat="1" x14ac:dyDescent="0.2">
      <c r="A106" s="9" t="s">
        <v>335</v>
      </c>
      <c r="B106" s="9" t="s">
        <v>37</v>
      </c>
      <c r="C106" s="9" t="s">
        <v>58</v>
      </c>
      <c r="D106" s="9" t="s">
        <v>171</v>
      </c>
      <c r="E106" s="9" t="s">
        <v>707</v>
      </c>
      <c r="F106" s="9" t="s">
        <v>336</v>
      </c>
      <c r="G106" s="9">
        <v>81231401</v>
      </c>
      <c r="J106" s="9" t="s">
        <v>337</v>
      </c>
      <c r="L106" s="9">
        <v>530559</v>
      </c>
      <c r="M106" s="9" t="s">
        <v>41</v>
      </c>
      <c r="R106" s="9" t="s">
        <v>540</v>
      </c>
      <c r="S106" s="9" t="s">
        <v>925</v>
      </c>
      <c r="U106" s="9" t="s">
        <v>926</v>
      </c>
      <c r="V106" s="9" t="s">
        <v>43</v>
      </c>
      <c r="W106" s="10">
        <v>26229</v>
      </c>
      <c r="Y106" s="9" t="s">
        <v>991</v>
      </c>
      <c r="AD106" s="10" t="s">
        <v>428</v>
      </c>
      <c r="AE106" s="9" t="s">
        <v>985</v>
      </c>
      <c r="AG106" s="11"/>
      <c r="AH106" s="9" t="s">
        <v>338</v>
      </c>
      <c r="AI106" s="9" t="s">
        <v>428</v>
      </c>
      <c r="AJ106" s="9" t="s">
        <v>428</v>
      </c>
    </row>
    <row r="107" spans="1:36" s="9" customFormat="1" x14ac:dyDescent="0.2">
      <c r="A107" s="9" t="s">
        <v>375</v>
      </c>
      <c r="B107" s="9" t="s">
        <v>37</v>
      </c>
      <c r="C107" s="9" t="s">
        <v>58</v>
      </c>
      <c r="D107" s="9" t="s">
        <v>59</v>
      </c>
      <c r="E107" s="9" t="s">
        <v>707</v>
      </c>
      <c r="F107" s="9" t="s">
        <v>376</v>
      </c>
      <c r="G107" s="9">
        <v>84668344</v>
      </c>
      <c r="J107" s="9" t="s">
        <v>377</v>
      </c>
      <c r="L107" s="9">
        <v>735786</v>
      </c>
      <c r="M107" s="9" t="s">
        <v>41</v>
      </c>
      <c r="R107" s="9" t="s">
        <v>60</v>
      </c>
      <c r="S107" s="9" t="s">
        <v>949</v>
      </c>
      <c r="U107" s="9" t="s">
        <v>950</v>
      </c>
      <c r="V107" s="9" t="s">
        <v>43</v>
      </c>
      <c r="W107" s="10">
        <v>33285</v>
      </c>
      <c r="Y107" s="9" t="s">
        <v>993</v>
      </c>
      <c r="AC107" s="9" t="s">
        <v>378</v>
      </c>
      <c r="AD107" s="10">
        <v>45834</v>
      </c>
      <c r="AE107" s="9" t="s">
        <v>985</v>
      </c>
      <c r="AG107" s="11"/>
      <c r="AH107" s="9" t="s">
        <v>379</v>
      </c>
      <c r="AI107" s="9" t="s">
        <v>428</v>
      </c>
      <c r="AJ107" s="9" t="s">
        <v>428</v>
      </c>
    </row>
  </sheetData>
  <autoFilter ref="A1:AJ103" xr:uid="{2C6682E1-7F05-4BF3-9918-EDDC31C5FD9E}">
    <sortState xmlns:xlrd2="http://schemas.microsoft.com/office/spreadsheetml/2017/richdata2" ref="A2:AJ103">
      <sortCondition ref="A1:A103"/>
    </sortState>
  </autoFilter>
  <conditionalFormatting sqref="AH1:AH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DFD0-E69F-4522-9873-1506894A8B69}">
  <dimension ref="A1:AJ4"/>
  <sheetViews>
    <sheetView workbookViewId="0">
      <selection activeCell="F24" sqref="F24"/>
    </sheetView>
  </sheetViews>
  <sheetFormatPr baseColWidth="10" defaultColWidth="12.83203125" defaultRowHeight="15" x14ac:dyDescent="0.2"/>
  <cols>
    <col min="1" max="1" width="26.5" bestFit="1" customWidth="1"/>
    <col min="2" max="2" width="14" bestFit="1" customWidth="1"/>
    <col min="3" max="3" width="11.1640625" bestFit="1" customWidth="1"/>
    <col min="4" max="4" width="17.1640625" customWidth="1"/>
    <col min="5" max="5" width="18.1640625" bestFit="1" customWidth="1"/>
    <col min="6" max="6" width="25.1640625" bestFit="1" customWidth="1"/>
    <col min="7" max="7" width="11.5" bestFit="1" customWidth="1"/>
    <col min="8" max="8" width="12" bestFit="1" customWidth="1"/>
    <col min="9" max="9" width="12.83203125" bestFit="1" customWidth="1"/>
    <col min="10" max="10" width="29.6640625" bestFit="1" customWidth="1"/>
    <col min="11" max="11" width="13.6640625" bestFit="1" customWidth="1"/>
    <col min="12" max="12" width="9.83203125" bestFit="1" customWidth="1"/>
    <col min="13" max="13" width="14.1640625" bestFit="1" customWidth="1"/>
    <col min="14" max="14" width="27.83203125" bestFit="1" customWidth="1"/>
    <col min="15" max="15" width="17.5" bestFit="1" customWidth="1"/>
    <col min="16" max="16" width="21" bestFit="1" customWidth="1"/>
    <col min="17" max="17" width="15" bestFit="1" customWidth="1"/>
    <col min="18" max="18" width="19.1640625" bestFit="1" customWidth="1"/>
    <col min="19" max="19" width="15.33203125" bestFit="1" customWidth="1"/>
    <col min="20" max="20" width="7.1640625" bestFit="1" customWidth="1"/>
    <col min="21" max="21" width="11" bestFit="1" customWidth="1"/>
    <col min="22" max="22" width="7.33203125" bestFit="1" customWidth="1"/>
    <col min="23" max="23" width="11.5" bestFit="1" customWidth="1"/>
    <col min="24" max="24" width="12.1640625" bestFit="1" customWidth="1"/>
    <col min="25" max="25" width="14.5" bestFit="1" customWidth="1"/>
    <col min="26" max="26" width="12.6640625" bestFit="1" customWidth="1"/>
    <col min="27" max="27" width="7.33203125" bestFit="1" customWidth="1"/>
    <col min="28" max="28" width="18.1640625" bestFit="1" customWidth="1"/>
    <col min="29" max="29" width="14.6640625" bestFit="1" customWidth="1"/>
    <col min="30" max="30" width="25.6640625" bestFit="1" customWidth="1"/>
    <col min="32" max="32" width="28.33203125" bestFit="1" customWidth="1"/>
    <col min="33" max="33" width="10.6640625" bestFit="1" customWidth="1"/>
    <col min="34" max="34" width="8.33203125" bestFit="1" customWidth="1"/>
    <col min="35" max="35" width="12.83203125" bestFit="1" customWidth="1"/>
    <col min="36" max="36" width="13.332031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89</v>
      </c>
      <c r="B2" t="s">
        <v>37</v>
      </c>
      <c r="C2" t="s">
        <v>90</v>
      </c>
      <c r="D2" t="s">
        <v>91</v>
      </c>
      <c r="E2" t="s">
        <v>691</v>
      </c>
      <c r="F2" t="s">
        <v>92</v>
      </c>
      <c r="G2">
        <v>97487489</v>
      </c>
      <c r="J2" t="s">
        <v>771</v>
      </c>
      <c r="L2">
        <v>98652</v>
      </c>
      <c r="M2" t="s">
        <v>41</v>
      </c>
      <c r="R2" t="s">
        <v>540</v>
      </c>
      <c r="S2" t="s">
        <v>772</v>
      </c>
      <c r="U2" t="s">
        <v>773</v>
      </c>
      <c r="V2" t="s">
        <v>43</v>
      </c>
      <c r="W2" s="6">
        <v>25848</v>
      </c>
      <c r="AD2" s="6" t="s">
        <v>428</v>
      </c>
      <c r="AE2" t="s">
        <v>696</v>
      </c>
      <c r="AF2">
        <v>0</v>
      </c>
      <c r="AG2" s="3">
        <f>VLOOKUP(D2,lookup!$A$2:$B$57,2,1)</f>
        <v>36</v>
      </c>
      <c r="AH2" t="s">
        <v>93</v>
      </c>
      <c r="AI2" t="s">
        <v>428</v>
      </c>
      <c r="AJ2" t="s">
        <v>428</v>
      </c>
    </row>
    <row r="3" spans="1:36" x14ac:dyDescent="0.2">
      <c r="A3" t="s">
        <v>316</v>
      </c>
      <c r="B3" t="s">
        <v>37</v>
      </c>
      <c r="C3" t="s">
        <v>90</v>
      </c>
      <c r="D3" t="s">
        <v>171</v>
      </c>
      <c r="E3" t="s">
        <v>89</v>
      </c>
      <c r="F3" t="s">
        <v>317</v>
      </c>
      <c r="G3">
        <v>98463930</v>
      </c>
      <c r="J3" t="s">
        <v>318</v>
      </c>
      <c r="L3">
        <v>520209</v>
      </c>
      <c r="M3" t="s">
        <v>41</v>
      </c>
      <c r="R3" t="s">
        <v>540</v>
      </c>
      <c r="S3" t="s">
        <v>905</v>
      </c>
      <c r="U3" t="s">
        <v>906</v>
      </c>
      <c r="V3" t="s">
        <v>43</v>
      </c>
      <c r="W3" s="6">
        <v>29748</v>
      </c>
      <c r="AD3" s="6" t="s">
        <v>428</v>
      </c>
      <c r="AE3" t="s">
        <v>985</v>
      </c>
      <c r="AF3">
        <v>0</v>
      </c>
      <c r="AG3" s="3">
        <f>VLOOKUP(D3,lookup!$A$2:$B$57,2,1)</f>
        <v>0</v>
      </c>
      <c r="AH3" t="s">
        <v>319</v>
      </c>
      <c r="AI3" t="s">
        <v>428</v>
      </c>
      <c r="AJ3" t="s">
        <v>428</v>
      </c>
    </row>
    <row r="4" spans="1:36" x14ac:dyDescent="0.2">
      <c r="A4" t="s">
        <v>691</v>
      </c>
      <c r="B4" t="s">
        <v>37</v>
      </c>
      <c r="C4" t="s">
        <v>209</v>
      </c>
      <c r="D4" t="s">
        <v>210</v>
      </c>
      <c r="E4" t="s">
        <v>719</v>
      </c>
      <c r="F4" t="s">
        <v>211</v>
      </c>
      <c r="G4">
        <v>96173941</v>
      </c>
      <c r="J4" t="s">
        <v>212</v>
      </c>
      <c r="L4">
        <v>769778</v>
      </c>
      <c r="M4" t="s">
        <v>41</v>
      </c>
      <c r="R4" t="s">
        <v>540</v>
      </c>
      <c r="S4" t="s">
        <v>851</v>
      </c>
      <c r="U4" t="s">
        <v>577</v>
      </c>
      <c r="V4" t="s">
        <v>43</v>
      </c>
      <c r="W4" s="6">
        <v>26419</v>
      </c>
      <c r="AD4" s="6" t="s">
        <v>428</v>
      </c>
      <c r="AE4" t="s">
        <v>696</v>
      </c>
      <c r="AF4">
        <v>0</v>
      </c>
      <c r="AG4" s="3">
        <f>VLOOKUP(D4,lookup!$A$2:$B$57,2,1)</f>
        <v>0</v>
      </c>
      <c r="AH4" t="s">
        <v>213</v>
      </c>
      <c r="AI4" t="s">
        <v>214</v>
      </c>
      <c r="AJ4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7004-1071-47CE-8B5D-2E4896E3287A}">
  <dimension ref="A1:AJ4"/>
  <sheetViews>
    <sheetView workbookViewId="0">
      <selection activeCell="C22" sqref="C22"/>
    </sheetView>
  </sheetViews>
  <sheetFormatPr baseColWidth="10" defaultColWidth="8.83203125" defaultRowHeight="15" x14ac:dyDescent="0.2"/>
  <cols>
    <col min="1" max="1" width="28.33203125" bestFit="1" customWidth="1"/>
    <col min="2" max="2" width="14" bestFit="1" customWidth="1"/>
    <col min="3" max="3" width="11.1640625" bestFit="1" customWidth="1"/>
    <col min="4" max="4" width="17" bestFit="1" customWidth="1"/>
    <col min="5" max="5" width="16.1640625" bestFit="1" customWidth="1"/>
    <col min="6" max="6" width="22.6640625" bestFit="1" customWidth="1"/>
    <col min="7" max="7" width="11.5" bestFit="1" customWidth="1"/>
    <col min="8" max="8" width="12" bestFit="1" customWidth="1"/>
    <col min="9" max="9" width="12.83203125" bestFit="1" customWidth="1"/>
    <col min="10" max="10" width="23.6640625" bestFit="1" customWidth="1"/>
    <col min="11" max="11" width="13.6640625" bestFit="1" customWidth="1"/>
    <col min="12" max="12" width="9.83203125" bestFit="1" customWidth="1"/>
    <col min="13" max="13" width="14.1640625" bestFit="1" customWidth="1"/>
    <col min="14" max="14" width="27.83203125" bestFit="1" customWidth="1"/>
    <col min="15" max="15" width="17.5" bestFit="1" customWidth="1"/>
    <col min="16" max="16" width="21" bestFit="1" customWidth="1"/>
    <col min="17" max="17" width="15" bestFit="1" customWidth="1"/>
    <col min="18" max="18" width="19.1640625" bestFit="1" customWidth="1"/>
    <col min="19" max="19" width="15.33203125" bestFit="1" customWidth="1"/>
    <col min="20" max="20" width="7.1640625" bestFit="1" customWidth="1"/>
    <col min="21" max="21" width="11" bestFit="1" customWidth="1"/>
    <col min="22" max="22" width="7.33203125" bestFit="1" customWidth="1"/>
    <col min="23" max="23" width="11.5" bestFit="1" customWidth="1"/>
    <col min="24" max="24" width="12.1640625" bestFit="1" customWidth="1"/>
    <col min="25" max="25" width="14.5" bestFit="1" customWidth="1"/>
    <col min="26" max="26" width="12.6640625" bestFit="1" customWidth="1"/>
    <col min="27" max="27" width="7.33203125" bestFit="1" customWidth="1"/>
    <col min="28" max="28" width="18.1640625" bestFit="1" customWidth="1"/>
    <col min="29" max="29" width="14.6640625" bestFit="1" customWidth="1"/>
    <col min="30" max="30" width="25.6640625" bestFit="1" customWidth="1"/>
    <col min="31" max="31" width="12.83203125" bestFit="1" customWidth="1"/>
    <col min="32" max="32" width="28.33203125" bestFit="1" customWidth="1"/>
    <col min="33" max="33" width="10.6640625" bestFit="1" customWidth="1"/>
    <col min="34" max="34" width="8.33203125" bestFit="1" customWidth="1"/>
    <col min="35" max="35" width="12.83203125" bestFit="1" customWidth="1"/>
    <col min="36" max="36" width="13.332031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139</v>
      </c>
      <c r="B2" t="s">
        <v>37</v>
      </c>
      <c r="C2" t="s">
        <v>140</v>
      </c>
      <c r="D2" t="s">
        <v>141</v>
      </c>
      <c r="E2" t="s">
        <v>142</v>
      </c>
      <c r="G2">
        <v>82662120</v>
      </c>
      <c r="J2" t="s">
        <v>40</v>
      </c>
      <c r="L2">
        <v>738471</v>
      </c>
      <c r="M2" t="s">
        <v>41</v>
      </c>
      <c r="R2" t="s">
        <v>539</v>
      </c>
      <c r="S2" t="s">
        <v>805</v>
      </c>
      <c r="U2" t="s">
        <v>806</v>
      </c>
      <c r="V2" t="s">
        <v>43</v>
      </c>
      <c r="W2" s="6">
        <v>26374</v>
      </c>
      <c r="Y2" t="s">
        <v>546</v>
      </c>
      <c r="AD2" s="6" t="s">
        <v>428</v>
      </c>
      <c r="AE2" t="s">
        <v>985</v>
      </c>
      <c r="AF2">
        <v>0</v>
      </c>
      <c r="AG2" s="3">
        <f>VLOOKUP(D2,lookup!$A$2:$B$57,2,1)</f>
        <v>0</v>
      </c>
      <c r="AH2" t="s">
        <v>143</v>
      </c>
      <c r="AI2" t="s">
        <v>428</v>
      </c>
      <c r="AJ2" t="s">
        <v>428</v>
      </c>
    </row>
    <row r="3" spans="1:36" x14ac:dyDescent="0.2">
      <c r="A3" t="s">
        <v>142</v>
      </c>
      <c r="B3" t="s">
        <v>37</v>
      </c>
      <c r="C3" t="s">
        <v>140</v>
      </c>
      <c r="D3" t="s">
        <v>228</v>
      </c>
      <c r="E3" t="s">
        <v>691</v>
      </c>
      <c r="F3" t="s">
        <v>229</v>
      </c>
      <c r="G3">
        <v>92702490</v>
      </c>
      <c r="J3" t="s">
        <v>230</v>
      </c>
      <c r="L3">
        <v>320123</v>
      </c>
      <c r="M3" t="s">
        <v>41</v>
      </c>
      <c r="R3" t="s">
        <v>540</v>
      </c>
      <c r="S3" t="s">
        <v>843</v>
      </c>
      <c r="U3" t="s">
        <v>844</v>
      </c>
      <c r="V3" t="s">
        <v>43</v>
      </c>
      <c r="W3" s="6">
        <v>26265</v>
      </c>
      <c r="Y3" t="s">
        <v>783</v>
      </c>
      <c r="AD3" s="6" t="s">
        <v>428</v>
      </c>
      <c r="AE3" t="s">
        <v>696</v>
      </c>
      <c r="AF3">
        <v>0</v>
      </c>
      <c r="AG3" s="3">
        <f>VLOOKUP(D3,lookup!$A$2:$B$57,2,1)</f>
        <v>0</v>
      </c>
      <c r="AH3" t="s">
        <v>231</v>
      </c>
      <c r="AI3" t="s">
        <v>428</v>
      </c>
      <c r="AJ3" t="s">
        <v>428</v>
      </c>
    </row>
    <row r="4" spans="1:36" x14ac:dyDescent="0.2">
      <c r="A4" t="s">
        <v>691</v>
      </c>
      <c r="B4" t="s">
        <v>37</v>
      </c>
      <c r="C4" t="s">
        <v>209</v>
      </c>
      <c r="D4" t="s">
        <v>210</v>
      </c>
      <c r="E4" t="s">
        <v>719</v>
      </c>
      <c r="F4" t="s">
        <v>211</v>
      </c>
      <c r="G4">
        <v>96173941</v>
      </c>
      <c r="J4" t="s">
        <v>212</v>
      </c>
      <c r="L4">
        <v>769778</v>
      </c>
      <c r="M4" t="s">
        <v>41</v>
      </c>
      <c r="R4" t="s">
        <v>540</v>
      </c>
      <c r="S4" t="s">
        <v>851</v>
      </c>
      <c r="U4" t="s">
        <v>577</v>
      </c>
      <c r="V4" t="s">
        <v>43</v>
      </c>
      <c r="W4" s="6">
        <v>26419</v>
      </c>
      <c r="AD4" s="6" t="s">
        <v>428</v>
      </c>
      <c r="AE4" t="s">
        <v>696</v>
      </c>
      <c r="AF4">
        <v>0</v>
      </c>
      <c r="AG4" s="3">
        <f>VLOOKUP(D4,lookup!$A$2:$B$57,2,1)</f>
        <v>0</v>
      </c>
      <c r="AH4" t="s">
        <v>213</v>
      </c>
      <c r="AI4" t="s">
        <v>214</v>
      </c>
      <c r="AJ4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87C2-1E25-441B-A5C3-16BAFBAC3AB6}">
  <dimension ref="A1:AJ14"/>
  <sheetViews>
    <sheetView workbookViewId="0">
      <selection sqref="A1:XFD1"/>
    </sheetView>
  </sheetViews>
  <sheetFormatPr baseColWidth="10" defaultColWidth="8.83203125" defaultRowHeight="15" x14ac:dyDescent="0.2"/>
  <cols>
    <col min="1" max="1" width="24.1640625" bestFit="1" customWidth="1"/>
    <col min="2" max="2" width="14" bestFit="1" customWidth="1"/>
    <col min="3" max="3" width="11.1640625" bestFit="1" customWidth="1"/>
    <col min="4" max="4" width="24.5" bestFit="1" customWidth="1"/>
    <col min="5" max="5" width="11.1640625" bestFit="1" customWidth="1"/>
    <col min="6" max="6" width="23.33203125" bestFit="1" customWidth="1"/>
    <col min="7" max="7" width="11.5" bestFit="1" customWidth="1"/>
    <col min="8" max="8" width="12" bestFit="1" customWidth="1"/>
    <col min="9" max="9" width="12.83203125" bestFit="1" customWidth="1"/>
    <col min="10" max="10" width="29.33203125" bestFit="1" customWidth="1"/>
    <col min="11" max="11" width="13.6640625" bestFit="1" customWidth="1"/>
    <col min="12" max="12" width="9.83203125" bestFit="1" customWidth="1"/>
    <col min="13" max="13" width="14.1640625" bestFit="1" customWidth="1"/>
    <col min="14" max="14" width="27.83203125" bestFit="1" customWidth="1"/>
    <col min="15" max="15" width="17.5" bestFit="1" customWidth="1"/>
    <col min="16" max="16" width="21" bestFit="1" customWidth="1"/>
    <col min="17" max="17" width="15" bestFit="1" customWidth="1"/>
    <col min="18" max="18" width="19.1640625" bestFit="1" customWidth="1"/>
    <col min="19" max="19" width="15.33203125" bestFit="1" customWidth="1"/>
    <col min="20" max="20" width="7.1640625" bestFit="1" customWidth="1"/>
    <col min="21" max="21" width="11" bestFit="1" customWidth="1"/>
    <col min="22" max="22" width="7.33203125" bestFit="1" customWidth="1"/>
    <col min="23" max="23" width="11.5" bestFit="1" customWidth="1"/>
    <col min="24" max="24" width="12.1640625" bestFit="1" customWidth="1"/>
    <col min="25" max="25" width="21.33203125" bestFit="1" customWidth="1"/>
    <col min="26" max="26" width="12.6640625" bestFit="1" customWidth="1"/>
    <col min="27" max="27" width="7.33203125" bestFit="1" customWidth="1"/>
    <col min="28" max="28" width="18.1640625" bestFit="1" customWidth="1"/>
    <col min="29" max="29" width="14.6640625" bestFit="1" customWidth="1"/>
    <col min="30" max="30" width="25.6640625" bestFit="1" customWidth="1"/>
    <col min="31" max="31" width="12.83203125" bestFit="1" customWidth="1"/>
    <col min="32" max="32" width="28.33203125" bestFit="1" customWidth="1"/>
    <col min="33" max="33" width="10.6640625" bestFit="1" customWidth="1"/>
    <col min="34" max="34" width="8.33203125" bestFit="1" customWidth="1"/>
    <col min="35" max="35" width="15.5" bestFit="1" customWidth="1"/>
    <col min="36" max="36" width="13.332031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57</v>
      </c>
      <c r="B2" t="s">
        <v>37</v>
      </c>
      <c r="C2" t="s">
        <v>58</v>
      </c>
      <c r="D2" t="s">
        <v>59</v>
      </c>
      <c r="E2" t="s">
        <v>707</v>
      </c>
      <c r="G2">
        <v>90554501</v>
      </c>
      <c r="J2" t="s">
        <v>40</v>
      </c>
      <c r="L2">
        <v>738471</v>
      </c>
      <c r="M2" t="s">
        <v>41</v>
      </c>
      <c r="R2" t="s">
        <v>60</v>
      </c>
      <c r="S2" t="s">
        <v>761</v>
      </c>
      <c r="U2" t="s">
        <v>762</v>
      </c>
      <c r="V2" t="s">
        <v>43</v>
      </c>
      <c r="W2" s="6">
        <v>33902</v>
      </c>
      <c r="Y2" t="s">
        <v>552</v>
      </c>
      <c r="AD2" s="6" t="s">
        <v>428</v>
      </c>
      <c r="AE2" t="s">
        <v>985</v>
      </c>
      <c r="AF2">
        <v>0</v>
      </c>
      <c r="AG2" s="3">
        <v>21</v>
      </c>
      <c r="AH2" t="s">
        <v>61</v>
      </c>
      <c r="AI2" t="s">
        <v>428</v>
      </c>
      <c r="AJ2" t="s">
        <v>428</v>
      </c>
    </row>
    <row r="3" spans="1:36" x14ac:dyDescent="0.2">
      <c r="A3" t="s">
        <v>62</v>
      </c>
      <c r="B3" t="s">
        <v>37</v>
      </c>
      <c r="C3" t="s">
        <v>58</v>
      </c>
      <c r="D3" t="s">
        <v>63</v>
      </c>
      <c r="E3" t="s">
        <v>707</v>
      </c>
      <c r="F3" t="s">
        <v>64</v>
      </c>
      <c r="G3">
        <v>81938165</v>
      </c>
      <c r="J3" t="s">
        <v>65</v>
      </c>
      <c r="L3">
        <v>730511</v>
      </c>
      <c r="M3" t="s">
        <v>41</v>
      </c>
      <c r="R3" t="s">
        <v>60</v>
      </c>
      <c r="S3" t="s">
        <v>763</v>
      </c>
      <c r="U3" t="s">
        <v>764</v>
      </c>
      <c r="V3" t="s">
        <v>43</v>
      </c>
      <c r="W3" s="6">
        <v>34105</v>
      </c>
      <c r="Y3" t="s">
        <v>552</v>
      </c>
      <c r="AC3" t="s">
        <v>66</v>
      </c>
      <c r="AD3" s="6">
        <v>46799</v>
      </c>
      <c r="AE3" t="s">
        <v>985</v>
      </c>
      <c r="AF3">
        <v>0</v>
      </c>
      <c r="AG3" s="3">
        <v>21</v>
      </c>
      <c r="AH3" t="s">
        <v>67</v>
      </c>
      <c r="AI3" t="s">
        <v>428</v>
      </c>
      <c r="AJ3" t="s">
        <v>428</v>
      </c>
    </row>
    <row r="4" spans="1:36" x14ac:dyDescent="0.2">
      <c r="A4" t="s">
        <v>704</v>
      </c>
      <c r="B4" t="s">
        <v>37</v>
      </c>
      <c r="C4" t="s">
        <v>58</v>
      </c>
      <c r="D4" t="s">
        <v>202</v>
      </c>
      <c r="E4" t="s">
        <v>707</v>
      </c>
      <c r="F4" t="s">
        <v>203</v>
      </c>
      <c r="G4">
        <v>89522657</v>
      </c>
      <c r="J4" t="s">
        <v>204</v>
      </c>
      <c r="L4">
        <v>752362</v>
      </c>
      <c r="M4" t="s">
        <v>41</v>
      </c>
      <c r="R4" t="s">
        <v>755</v>
      </c>
      <c r="S4" t="s">
        <v>788</v>
      </c>
      <c r="U4" t="s">
        <v>789</v>
      </c>
      <c r="V4" t="s">
        <v>43</v>
      </c>
      <c r="W4" s="6">
        <v>36221</v>
      </c>
      <c r="Y4" t="s">
        <v>757</v>
      </c>
      <c r="AC4" t="s">
        <v>205</v>
      </c>
      <c r="AD4" s="6">
        <v>46796</v>
      </c>
      <c r="AE4" t="s">
        <v>985</v>
      </c>
      <c r="AF4">
        <v>0</v>
      </c>
      <c r="AG4" s="3">
        <v>0</v>
      </c>
      <c r="AH4" t="s">
        <v>206</v>
      </c>
      <c r="AI4" t="s">
        <v>207</v>
      </c>
      <c r="AJ4" t="s">
        <v>208</v>
      </c>
    </row>
    <row r="5" spans="1:36" x14ac:dyDescent="0.2">
      <c r="A5" t="s">
        <v>705</v>
      </c>
      <c r="B5" t="s">
        <v>37</v>
      </c>
      <c r="C5" t="s">
        <v>58</v>
      </c>
      <c r="D5" t="s">
        <v>179</v>
      </c>
      <c r="E5" t="s">
        <v>707</v>
      </c>
      <c r="F5" t="s">
        <v>180</v>
      </c>
      <c r="G5">
        <v>88943684</v>
      </c>
      <c r="J5" t="s">
        <v>181</v>
      </c>
      <c r="L5">
        <v>311153</v>
      </c>
      <c r="M5" t="s">
        <v>41</v>
      </c>
      <c r="R5" t="s">
        <v>755</v>
      </c>
      <c r="S5" t="s">
        <v>790</v>
      </c>
      <c r="U5" t="s">
        <v>791</v>
      </c>
      <c r="V5" t="s">
        <v>43</v>
      </c>
      <c r="W5" s="6">
        <v>36191</v>
      </c>
      <c r="Y5" t="s">
        <v>757</v>
      </c>
      <c r="AC5" t="s">
        <v>182</v>
      </c>
      <c r="AD5" s="6">
        <v>46385</v>
      </c>
      <c r="AE5" t="s">
        <v>985</v>
      </c>
      <c r="AF5">
        <v>0</v>
      </c>
      <c r="AG5" s="3">
        <v>0</v>
      </c>
      <c r="AH5" t="s">
        <v>183</v>
      </c>
      <c r="AI5" t="s">
        <v>428</v>
      </c>
      <c r="AJ5" t="s">
        <v>428</v>
      </c>
    </row>
    <row r="6" spans="1:36" x14ac:dyDescent="0.2">
      <c r="A6" t="s">
        <v>707</v>
      </c>
      <c r="B6" t="s">
        <v>37</v>
      </c>
      <c r="C6" t="s">
        <v>58</v>
      </c>
      <c r="D6" t="s">
        <v>119</v>
      </c>
      <c r="E6" t="s">
        <v>691</v>
      </c>
      <c r="F6" t="s">
        <v>120</v>
      </c>
      <c r="G6">
        <v>96930361</v>
      </c>
      <c r="J6" t="s">
        <v>121</v>
      </c>
      <c r="L6">
        <v>759419</v>
      </c>
      <c r="M6" t="s">
        <v>41</v>
      </c>
      <c r="R6" t="s">
        <v>540</v>
      </c>
      <c r="S6" t="s">
        <v>799</v>
      </c>
      <c r="U6" t="s">
        <v>800</v>
      </c>
      <c r="V6" t="s">
        <v>43</v>
      </c>
      <c r="W6" s="6">
        <v>24858</v>
      </c>
      <c r="Y6" t="s">
        <v>581</v>
      </c>
      <c r="AD6" s="6" t="s">
        <v>428</v>
      </c>
      <c r="AE6" t="s">
        <v>696</v>
      </c>
      <c r="AF6">
        <v>0</v>
      </c>
      <c r="AG6" s="3">
        <v>0</v>
      </c>
      <c r="AH6" t="s">
        <v>122</v>
      </c>
      <c r="AI6" t="s">
        <v>428</v>
      </c>
      <c r="AJ6" t="s">
        <v>428</v>
      </c>
    </row>
    <row r="7" spans="1:36" x14ac:dyDescent="0.2">
      <c r="A7" t="s">
        <v>168</v>
      </c>
      <c r="B7" t="s">
        <v>37</v>
      </c>
      <c r="C7" t="s">
        <v>58</v>
      </c>
      <c r="D7" t="s">
        <v>59</v>
      </c>
      <c r="E7" t="s">
        <v>707</v>
      </c>
      <c r="F7" t="s">
        <v>169</v>
      </c>
      <c r="G7">
        <v>81723644</v>
      </c>
      <c r="J7" t="s">
        <v>40</v>
      </c>
      <c r="L7">
        <v>738471</v>
      </c>
      <c r="M7" t="s">
        <v>41</v>
      </c>
      <c r="R7" t="s">
        <v>758</v>
      </c>
      <c r="S7" t="s">
        <v>818</v>
      </c>
      <c r="U7" t="s">
        <v>819</v>
      </c>
      <c r="V7" t="s">
        <v>43</v>
      </c>
      <c r="W7" s="6">
        <v>32022</v>
      </c>
      <c r="Y7" t="s">
        <v>820</v>
      </c>
      <c r="AD7" s="6" t="s">
        <v>428</v>
      </c>
      <c r="AE7" t="s">
        <v>985</v>
      </c>
      <c r="AF7">
        <v>0</v>
      </c>
      <c r="AG7" s="3">
        <v>21</v>
      </c>
      <c r="AH7" t="s">
        <v>170</v>
      </c>
      <c r="AI7" t="s">
        <v>428</v>
      </c>
      <c r="AJ7" t="s">
        <v>428</v>
      </c>
    </row>
    <row r="8" spans="1:36" x14ac:dyDescent="0.2">
      <c r="A8" t="s">
        <v>177</v>
      </c>
      <c r="B8" t="s">
        <v>37</v>
      </c>
      <c r="C8" t="s">
        <v>58</v>
      </c>
      <c r="D8" t="s">
        <v>59</v>
      </c>
      <c r="E8" t="s">
        <v>707</v>
      </c>
      <c r="G8">
        <v>85106326</v>
      </c>
      <c r="J8" t="s">
        <v>40</v>
      </c>
      <c r="L8">
        <v>738471</v>
      </c>
      <c r="M8" t="s">
        <v>41</v>
      </c>
      <c r="R8" t="s">
        <v>821</v>
      </c>
      <c r="S8" t="s">
        <v>822</v>
      </c>
      <c r="U8" t="s">
        <v>823</v>
      </c>
      <c r="V8" t="s">
        <v>43</v>
      </c>
      <c r="W8" s="6">
        <v>29037</v>
      </c>
      <c r="Y8" t="s">
        <v>824</v>
      </c>
      <c r="AD8" s="6" t="s">
        <v>428</v>
      </c>
      <c r="AE8" t="s">
        <v>696</v>
      </c>
      <c r="AF8">
        <v>0</v>
      </c>
      <c r="AG8" s="3">
        <v>21</v>
      </c>
      <c r="AH8" t="s">
        <v>178</v>
      </c>
      <c r="AI8" t="s">
        <v>428</v>
      </c>
      <c r="AJ8" t="s">
        <v>428</v>
      </c>
    </row>
    <row r="9" spans="1:36" x14ac:dyDescent="0.2">
      <c r="A9" t="s">
        <v>219</v>
      </c>
      <c r="B9" t="s">
        <v>37</v>
      </c>
      <c r="C9" t="s">
        <v>58</v>
      </c>
      <c r="D9" t="s">
        <v>144</v>
      </c>
      <c r="E9" t="s">
        <v>707</v>
      </c>
      <c r="F9" t="s">
        <v>220</v>
      </c>
      <c r="G9">
        <v>91125651</v>
      </c>
      <c r="J9" t="s">
        <v>221</v>
      </c>
      <c r="L9">
        <v>330055</v>
      </c>
      <c r="M9" t="s">
        <v>41</v>
      </c>
      <c r="R9" t="s">
        <v>540</v>
      </c>
      <c r="S9" t="s">
        <v>839</v>
      </c>
      <c r="U9" t="s">
        <v>840</v>
      </c>
      <c r="V9" t="s">
        <v>43</v>
      </c>
      <c r="W9" s="6">
        <v>34029</v>
      </c>
      <c r="Y9" t="s">
        <v>581</v>
      </c>
      <c r="AD9" s="6" t="s">
        <v>428</v>
      </c>
      <c r="AE9" t="s">
        <v>985</v>
      </c>
      <c r="AF9">
        <v>0</v>
      </c>
      <c r="AG9" s="3">
        <v>0</v>
      </c>
      <c r="AH9" t="s">
        <v>222</v>
      </c>
      <c r="AI9" t="s">
        <v>428</v>
      </c>
      <c r="AJ9" t="s">
        <v>428</v>
      </c>
    </row>
    <row r="10" spans="1:36" x14ac:dyDescent="0.2">
      <c r="A10" t="s">
        <v>720</v>
      </c>
      <c r="B10" t="s">
        <v>37</v>
      </c>
      <c r="C10" t="s">
        <v>58</v>
      </c>
      <c r="D10" t="s">
        <v>796</v>
      </c>
      <c r="E10" t="s">
        <v>707</v>
      </c>
      <c r="G10">
        <v>82364014</v>
      </c>
      <c r="J10" t="s">
        <v>849</v>
      </c>
      <c r="L10">
        <v>532475</v>
      </c>
      <c r="M10" t="s">
        <v>41</v>
      </c>
      <c r="R10" t="s">
        <v>540</v>
      </c>
      <c r="S10" t="s">
        <v>850</v>
      </c>
      <c r="V10" t="s">
        <v>43</v>
      </c>
      <c r="W10" s="6">
        <v>36813</v>
      </c>
      <c r="Y10" t="s">
        <v>581</v>
      </c>
      <c r="AD10" s="6" t="s">
        <v>428</v>
      </c>
      <c r="AE10" t="s">
        <v>985</v>
      </c>
      <c r="AF10">
        <v>0</v>
      </c>
      <c r="AG10" s="3">
        <v>0</v>
      </c>
      <c r="AH10" t="s">
        <v>976</v>
      </c>
      <c r="AI10" t="s">
        <v>428</v>
      </c>
      <c r="AJ10" t="s">
        <v>428</v>
      </c>
    </row>
    <row r="11" spans="1:36" x14ac:dyDescent="0.2">
      <c r="A11" t="s">
        <v>326</v>
      </c>
      <c r="B11" t="s">
        <v>37</v>
      </c>
      <c r="C11" t="s">
        <v>58</v>
      </c>
      <c r="D11" t="s">
        <v>179</v>
      </c>
      <c r="E11" t="s">
        <v>707</v>
      </c>
      <c r="G11" s="7" t="s">
        <v>984</v>
      </c>
      <c r="J11" t="s">
        <v>40</v>
      </c>
      <c r="L11">
        <v>738471</v>
      </c>
      <c r="M11" t="s">
        <v>41</v>
      </c>
      <c r="R11" t="s">
        <v>755</v>
      </c>
      <c r="U11" t="s">
        <v>918</v>
      </c>
      <c r="V11" t="s">
        <v>43</v>
      </c>
      <c r="W11" s="6">
        <v>35413</v>
      </c>
      <c r="Y11" t="s">
        <v>757</v>
      </c>
      <c r="AD11" s="6" t="s">
        <v>428</v>
      </c>
      <c r="AE11" t="s">
        <v>985</v>
      </c>
      <c r="AF11">
        <v>0</v>
      </c>
      <c r="AG11" s="3">
        <v>0</v>
      </c>
      <c r="AH11" t="s">
        <v>327</v>
      </c>
      <c r="AI11" t="s">
        <v>428</v>
      </c>
      <c r="AJ11" t="s">
        <v>428</v>
      </c>
    </row>
    <row r="12" spans="1:36" x14ac:dyDescent="0.2">
      <c r="A12" t="s">
        <v>335</v>
      </c>
      <c r="B12" t="s">
        <v>37</v>
      </c>
      <c r="C12" t="s">
        <v>58</v>
      </c>
      <c r="D12" t="s">
        <v>171</v>
      </c>
      <c r="E12" t="s">
        <v>707</v>
      </c>
      <c r="F12" t="s">
        <v>336</v>
      </c>
      <c r="G12">
        <v>81231401</v>
      </c>
      <c r="J12" t="s">
        <v>337</v>
      </c>
      <c r="L12">
        <v>530559</v>
      </c>
      <c r="M12" t="s">
        <v>41</v>
      </c>
      <c r="R12" t="s">
        <v>540</v>
      </c>
      <c r="S12" t="s">
        <v>925</v>
      </c>
      <c r="U12" t="s">
        <v>926</v>
      </c>
      <c r="V12" t="s">
        <v>43</v>
      </c>
      <c r="W12" s="6">
        <v>26229</v>
      </c>
      <c r="Y12" t="s">
        <v>581</v>
      </c>
      <c r="AD12" s="6" t="s">
        <v>428</v>
      </c>
      <c r="AE12" t="s">
        <v>985</v>
      </c>
      <c r="AG12" s="3"/>
      <c r="AH12" t="s">
        <v>338</v>
      </c>
      <c r="AI12" t="s">
        <v>428</v>
      </c>
      <c r="AJ12" t="s">
        <v>428</v>
      </c>
    </row>
    <row r="13" spans="1:36" x14ac:dyDescent="0.2">
      <c r="A13" t="s">
        <v>375</v>
      </c>
      <c r="B13" t="s">
        <v>37</v>
      </c>
      <c r="C13" t="s">
        <v>58</v>
      </c>
      <c r="D13" t="s">
        <v>59</v>
      </c>
      <c r="E13" t="s">
        <v>707</v>
      </c>
      <c r="F13" t="s">
        <v>376</v>
      </c>
      <c r="G13">
        <v>84668344</v>
      </c>
      <c r="J13" t="s">
        <v>377</v>
      </c>
      <c r="L13">
        <v>735786</v>
      </c>
      <c r="M13" t="s">
        <v>41</v>
      </c>
      <c r="R13" t="s">
        <v>60</v>
      </c>
      <c r="S13" t="s">
        <v>949</v>
      </c>
      <c r="U13" t="s">
        <v>950</v>
      </c>
      <c r="V13" t="s">
        <v>43</v>
      </c>
      <c r="W13" s="6">
        <v>33285</v>
      </c>
      <c r="Y13" t="s">
        <v>552</v>
      </c>
      <c r="AC13" t="s">
        <v>378</v>
      </c>
      <c r="AD13" s="6">
        <v>45834</v>
      </c>
      <c r="AE13" t="s">
        <v>985</v>
      </c>
      <c r="AG13" s="3"/>
      <c r="AH13" t="s">
        <v>379</v>
      </c>
      <c r="AI13" t="s">
        <v>428</v>
      </c>
      <c r="AJ13" t="s">
        <v>428</v>
      </c>
    </row>
    <row r="14" spans="1:36" x14ac:dyDescent="0.2">
      <c r="A14" t="s">
        <v>691</v>
      </c>
      <c r="B14" t="s">
        <v>37</v>
      </c>
      <c r="C14" t="s">
        <v>209</v>
      </c>
      <c r="D14" t="s">
        <v>210</v>
      </c>
      <c r="E14" t="s">
        <v>719</v>
      </c>
      <c r="F14" t="s">
        <v>211</v>
      </c>
      <c r="G14">
        <v>96173941</v>
      </c>
      <c r="J14" t="s">
        <v>212</v>
      </c>
      <c r="L14">
        <v>769778</v>
      </c>
      <c r="M14" t="s">
        <v>41</v>
      </c>
      <c r="R14" t="s">
        <v>540</v>
      </c>
      <c r="S14" t="s">
        <v>851</v>
      </c>
      <c r="U14" t="s">
        <v>577</v>
      </c>
      <c r="V14" t="s">
        <v>43</v>
      </c>
      <c r="W14" s="6">
        <v>26419</v>
      </c>
      <c r="AD14" s="6" t="s">
        <v>428</v>
      </c>
      <c r="AE14" t="s">
        <v>696</v>
      </c>
      <c r="AF14">
        <v>0</v>
      </c>
      <c r="AG14" s="3">
        <f>VLOOKUP(D14,lookup!$A$2:$B$57,2,1)</f>
        <v>0</v>
      </c>
      <c r="AH14" t="s">
        <v>213</v>
      </c>
      <c r="AI14" t="s">
        <v>214</v>
      </c>
      <c r="AJ14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5BC9-87F7-4A0E-B51A-A96CAED58D80}">
  <dimension ref="A1:AJ2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13.66406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722</v>
      </c>
      <c r="B2" t="s">
        <v>37</v>
      </c>
      <c r="C2" t="s">
        <v>209</v>
      </c>
      <c r="D2" t="s">
        <v>853</v>
      </c>
      <c r="E2" t="s">
        <v>691</v>
      </c>
      <c r="F2" t="s">
        <v>854</v>
      </c>
      <c r="G2">
        <v>97348586</v>
      </c>
      <c r="J2" t="s">
        <v>855</v>
      </c>
      <c r="L2">
        <v>759283</v>
      </c>
      <c r="M2" t="s">
        <v>41</v>
      </c>
      <c r="R2" t="s">
        <v>540</v>
      </c>
      <c r="S2" t="s">
        <v>856</v>
      </c>
      <c r="U2" t="s">
        <v>857</v>
      </c>
      <c r="V2" t="s">
        <v>43</v>
      </c>
      <c r="W2" s="6">
        <v>25964</v>
      </c>
      <c r="Y2" t="s">
        <v>991</v>
      </c>
      <c r="AD2" s="6" t="s">
        <v>428</v>
      </c>
      <c r="AE2" t="s">
        <v>696</v>
      </c>
      <c r="AF2">
        <v>0</v>
      </c>
      <c r="AG2" s="3">
        <f>VLOOKUP(D2,lookup!$A$2:$B$57,2,1)</f>
        <v>36</v>
      </c>
      <c r="AH2" t="s">
        <v>977</v>
      </c>
      <c r="AI2" t="s">
        <v>428</v>
      </c>
      <c r="AJ2" t="s">
        <v>428</v>
      </c>
    </row>
  </sheetData>
  <conditionalFormatting sqref="AH1">
    <cfRule type="duplicateValues" dxfId="3" priority="1"/>
  </conditionalFormatting>
  <conditionalFormatting sqref="AH2">
    <cfRule type="duplicateValues" dxfId="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A340-C9DB-4F82-AF7D-3E3C2097EE21}">
  <dimension ref="A1:AJ2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691</v>
      </c>
      <c r="B2" t="s">
        <v>37</v>
      </c>
      <c r="C2" t="s">
        <v>209</v>
      </c>
      <c r="D2" t="s">
        <v>210</v>
      </c>
      <c r="E2" t="s">
        <v>719</v>
      </c>
      <c r="F2" t="s">
        <v>211</v>
      </c>
      <c r="G2">
        <v>96173941</v>
      </c>
      <c r="J2" t="s">
        <v>212</v>
      </c>
      <c r="L2">
        <v>769778</v>
      </c>
      <c r="M2" t="s">
        <v>41</v>
      </c>
      <c r="R2" t="s">
        <v>540</v>
      </c>
      <c r="S2" t="s">
        <v>851</v>
      </c>
      <c r="U2" t="s">
        <v>577</v>
      </c>
      <c r="V2" t="s">
        <v>43</v>
      </c>
      <c r="W2" s="6">
        <v>26419</v>
      </c>
      <c r="AD2" s="6" t="s">
        <v>428</v>
      </c>
      <c r="AE2" t="s">
        <v>696</v>
      </c>
      <c r="AF2">
        <v>0</v>
      </c>
      <c r="AG2" s="3">
        <f>VLOOKUP(D2,lookup!$A$2:$B$57,2,1)</f>
        <v>0</v>
      </c>
      <c r="AH2" t="s">
        <v>213</v>
      </c>
      <c r="AI2" t="s">
        <v>214</v>
      </c>
      <c r="AJ2" t="s">
        <v>215</v>
      </c>
    </row>
  </sheetData>
  <conditionalFormatting sqref="AH1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EB11-DFD7-4884-AE16-8CCFB3706217}">
  <dimension ref="A1:AJ44"/>
  <sheetViews>
    <sheetView topLeftCell="R1" workbookViewId="0">
      <selection activeCell="AF7" sqref="AF7"/>
    </sheetView>
  </sheetViews>
  <sheetFormatPr baseColWidth="10" defaultColWidth="8.83203125" defaultRowHeight="15" x14ac:dyDescent="0.2"/>
  <cols>
    <col min="1" max="1" width="23.83203125" customWidth="1"/>
    <col min="2" max="2" width="14" bestFit="1" customWidth="1"/>
    <col min="3" max="4" width="11.1640625" bestFit="1" customWidth="1"/>
    <col min="5" max="5" width="8.5" bestFit="1" customWidth="1"/>
    <col min="6" max="6" width="10.6640625" bestFit="1" customWidth="1"/>
    <col min="7" max="7" width="11.5" bestFit="1" customWidth="1"/>
    <col min="8" max="8" width="12" bestFit="1" customWidth="1"/>
    <col min="9" max="9" width="12.83203125" bestFit="1" customWidth="1"/>
    <col min="10" max="10" width="26.1640625" customWidth="1"/>
    <col min="11" max="11" width="13.6640625" bestFit="1" customWidth="1"/>
    <col min="12" max="12" width="9.83203125" bestFit="1" customWidth="1"/>
    <col min="13" max="13" width="14.1640625" bestFit="1" customWidth="1"/>
    <col min="14" max="14" width="27.83203125" bestFit="1" customWidth="1"/>
    <col min="15" max="15" width="17.5" bestFit="1" customWidth="1"/>
    <col min="16" max="16" width="21" bestFit="1" customWidth="1"/>
    <col min="17" max="17" width="15" bestFit="1" customWidth="1"/>
    <col min="18" max="18" width="19.1640625" bestFit="1" customWidth="1"/>
    <col min="19" max="19" width="15.33203125" bestFit="1" customWidth="1"/>
    <col min="20" max="20" width="7.1640625" bestFit="1" customWidth="1"/>
    <col min="21" max="21" width="11" bestFit="1" customWidth="1"/>
    <col min="22" max="22" width="7.33203125" bestFit="1" customWidth="1"/>
    <col min="23" max="23" width="11.5" bestFit="1" customWidth="1"/>
    <col min="24" max="24" width="12.1640625" bestFit="1" customWidth="1"/>
    <col min="25" max="25" width="14.5" bestFit="1" customWidth="1"/>
    <col min="26" max="26" width="12.6640625" bestFit="1" customWidth="1"/>
    <col min="27" max="27" width="7.33203125" bestFit="1" customWidth="1"/>
    <col min="28" max="28" width="18.1640625" bestFit="1" customWidth="1"/>
    <col min="29" max="29" width="14.6640625" bestFit="1" customWidth="1"/>
    <col min="30" max="30" width="25.6640625" bestFit="1" customWidth="1"/>
    <col min="31" max="31" width="12.83203125" bestFit="1" customWidth="1"/>
    <col min="32" max="32" width="28.33203125" bestFit="1" customWidth="1"/>
    <col min="33" max="33" width="10.6640625" bestFit="1" customWidth="1"/>
    <col min="34" max="34" width="8.33203125" bestFit="1" customWidth="1"/>
    <col min="35" max="35" width="12.83203125" bestFit="1" customWidth="1"/>
    <col min="36" max="36" width="13.332031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413</v>
      </c>
      <c r="B2" t="s">
        <v>37</v>
      </c>
      <c r="C2" t="s">
        <v>414</v>
      </c>
      <c r="D2" t="s">
        <v>415</v>
      </c>
      <c r="E2" t="s">
        <v>416</v>
      </c>
      <c r="F2" t="s">
        <v>417</v>
      </c>
      <c r="G2" t="s">
        <v>418</v>
      </c>
      <c r="J2" t="s">
        <v>512</v>
      </c>
      <c r="L2">
        <v>81750</v>
      </c>
      <c r="M2" t="s">
        <v>42</v>
      </c>
      <c r="R2" t="s">
        <v>539</v>
      </c>
      <c r="S2" t="s">
        <v>543</v>
      </c>
      <c r="V2" t="s">
        <v>544</v>
      </c>
      <c r="W2" s="2" t="s">
        <v>545</v>
      </c>
      <c r="Y2" t="s">
        <v>546</v>
      </c>
      <c r="AE2" t="s">
        <v>544</v>
      </c>
      <c r="AH2" t="s">
        <v>635</v>
      </c>
      <c r="AI2" t="s">
        <v>428</v>
      </c>
      <c r="AJ2" t="s">
        <v>428</v>
      </c>
    </row>
    <row r="3" spans="1:36" x14ac:dyDescent="0.2">
      <c r="A3" t="s">
        <v>419</v>
      </c>
      <c r="B3" t="s">
        <v>37</v>
      </c>
      <c r="C3" t="s">
        <v>414</v>
      </c>
      <c r="D3" t="s">
        <v>420</v>
      </c>
      <c r="E3" t="s">
        <v>416</v>
      </c>
      <c r="G3">
        <v>177186091</v>
      </c>
      <c r="J3" t="s">
        <v>513</v>
      </c>
      <c r="L3">
        <v>81810</v>
      </c>
      <c r="M3" t="s">
        <v>42</v>
      </c>
      <c r="R3" t="s">
        <v>539</v>
      </c>
      <c r="S3" t="s">
        <v>547</v>
      </c>
      <c r="V3" t="s">
        <v>548</v>
      </c>
      <c r="W3" s="2" t="s">
        <v>549</v>
      </c>
      <c r="Y3" t="s">
        <v>546</v>
      </c>
      <c r="AE3" t="s">
        <v>678</v>
      </c>
      <c r="AH3" t="s">
        <v>636</v>
      </c>
      <c r="AI3" t="s">
        <v>428</v>
      </c>
      <c r="AJ3" t="s">
        <v>428</v>
      </c>
    </row>
    <row r="4" spans="1:36" x14ac:dyDescent="0.2">
      <c r="A4" t="s">
        <v>421</v>
      </c>
      <c r="B4" t="s">
        <v>37</v>
      </c>
      <c r="C4" t="s">
        <v>414</v>
      </c>
      <c r="D4" t="s">
        <v>422</v>
      </c>
      <c r="E4" t="s">
        <v>416</v>
      </c>
      <c r="G4">
        <v>1170234722</v>
      </c>
      <c r="J4" t="s">
        <v>514</v>
      </c>
      <c r="L4">
        <v>81800</v>
      </c>
      <c r="M4" t="s">
        <v>42</v>
      </c>
      <c r="R4" t="s">
        <v>60</v>
      </c>
      <c r="U4" t="s">
        <v>550</v>
      </c>
      <c r="V4" t="s">
        <v>544</v>
      </c>
      <c r="W4" s="2" t="s">
        <v>551</v>
      </c>
      <c r="Y4" t="s">
        <v>552</v>
      </c>
      <c r="AE4" t="s">
        <v>544</v>
      </c>
      <c r="AH4" t="s">
        <v>637</v>
      </c>
      <c r="AI4" t="s">
        <v>428</v>
      </c>
      <c r="AJ4" t="s">
        <v>428</v>
      </c>
    </row>
    <row r="5" spans="1:36" x14ac:dyDescent="0.2">
      <c r="A5" t="s">
        <v>423</v>
      </c>
      <c r="B5" t="s">
        <v>37</v>
      </c>
      <c r="C5" t="s">
        <v>414</v>
      </c>
      <c r="D5" t="s">
        <v>422</v>
      </c>
      <c r="E5" t="s">
        <v>416</v>
      </c>
      <c r="G5" t="s">
        <v>424</v>
      </c>
      <c r="J5" t="s">
        <v>515</v>
      </c>
      <c r="L5">
        <v>81800</v>
      </c>
      <c r="M5" t="s">
        <v>42</v>
      </c>
      <c r="R5" t="s">
        <v>60</v>
      </c>
      <c r="U5" t="s">
        <v>553</v>
      </c>
      <c r="V5" t="s">
        <v>544</v>
      </c>
      <c r="W5" s="2" t="s">
        <v>554</v>
      </c>
      <c r="Y5" t="s">
        <v>552</v>
      </c>
      <c r="AE5" t="s">
        <v>544</v>
      </c>
      <c r="AH5" t="s">
        <v>638</v>
      </c>
      <c r="AI5" t="s">
        <v>680</v>
      </c>
      <c r="AJ5">
        <v>9772134201</v>
      </c>
    </row>
    <row r="6" spans="1:36" x14ac:dyDescent="0.2">
      <c r="A6" t="s">
        <v>423</v>
      </c>
      <c r="B6" t="s">
        <v>37</v>
      </c>
      <c r="C6" t="s">
        <v>414</v>
      </c>
      <c r="D6" t="s">
        <v>422</v>
      </c>
      <c r="E6" t="s">
        <v>416</v>
      </c>
      <c r="G6" t="s">
        <v>425</v>
      </c>
      <c r="J6" t="s">
        <v>515</v>
      </c>
      <c r="L6">
        <v>81800</v>
      </c>
      <c r="M6" t="s">
        <v>42</v>
      </c>
      <c r="R6" t="s">
        <v>60</v>
      </c>
      <c r="U6" t="s">
        <v>555</v>
      </c>
      <c r="V6" t="s">
        <v>544</v>
      </c>
      <c r="W6" s="2" t="s">
        <v>556</v>
      </c>
      <c r="Y6" t="s">
        <v>552</v>
      </c>
      <c r="AE6" t="s">
        <v>544</v>
      </c>
      <c r="AH6" t="s">
        <v>639</v>
      </c>
      <c r="AI6" t="s">
        <v>681</v>
      </c>
      <c r="AJ6">
        <v>8784476059</v>
      </c>
    </row>
    <row r="7" spans="1:36" x14ac:dyDescent="0.2">
      <c r="A7" t="s">
        <v>426</v>
      </c>
      <c r="B7" t="s">
        <v>37</v>
      </c>
      <c r="C7" t="s">
        <v>414</v>
      </c>
      <c r="D7" t="s">
        <v>427</v>
      </c>
      <c r="E7" t="s">
        <v>428</v>
      </c>
      <c r="J7" t="s">
        <v>516</v>
      </c>
      <c r="L7">
        <v>81800</v>
      </c>
      <c r="M7" t="s">
        <v>42</v>
      </c>
      <c r="R7" t="s">
        <v>60</v>
      </c>
      <c r="U7" t="s">
        <v>557</v>
      </c>
      <c r="V7" t="s">
        <v>544</v>
      </c>
      <c r="W7" s="2" t="s">
        <v>558</v>
      </c>
      <c r="Y7" t="s">
        <v>552</v>
      </c>
      <c r="AE7" t="s">
        <v>544</v>
      </c>
      <c r="AH7" t="s">
        <v>640</v>
      </c>
      <c r="AI7" t="s">
        <v>428</v>
      </c>
      <c r="AJ7" t="s">
        <v>428</v>
      </c>
    </row>
    <row r="8" spans="1:36" x14ac:dyDescent="0.2">
      <c r="A8" t="s">
        <v>429</v>
      </c>
      <c r="B8" t="s">
        <v>37</v>
      </c>
      <c r="C8" t="s">
        <v>414</v>
      </c>
      <c r="D8" t="s">
        <v>430</v>
      </c>
      <c r="E8" t="s">
        <v>431</v>
      </c>
      <c r="G8" t="s">
        <v>432</v>
      </c>
      <c r="J8" t="s">
        <v>517</v>
      </c>
      <c r="L8">
        <v>81800</v>
      </c>
      <c r="M8" t="s">
        <v>42</v>
      </c>
      <c r="R8" t="s">
        <v>60</v>
      </c>
      <c r="U8" t="s">
        <v>559</v>
      </c>
      <c r="V8" t="s">
        <v>544</v>
      </c>
      <c r="W8" s="2" t="s">
        <v>560</v>
      </c>
      <c r="Y8" t="s">
        <v>552</v>
      </c>
      <c r="AE8" t="s">
        <v>679</v>
      </c>
      <c r="AH8" t="s">
        <v>641</v>
      </c>
      <c r="AI8" t="s">
        <v>428</v>
      </c>
      <c r="AJ8" t="s">
        <v>428</v>
      </c>
    </row>
    <row r="9" spans="1:36" x14ac:dyDescent="0.2">
      <c r="A9" t="s">
        <v>433</v>
      </c>
      <c r="B9" t="s">
        <v>37</v>
      </c>
      <c r="C9" t="s">
        <v>434</v>
      </c>
      <c r="D9" t="s">
        <v>428</v>
      </c>
      <c r="E9" t="s">
        <v>428</v>
      </c>
      <c r="F9" t="s">
        <v>134</v>
      </c>
      <c r="M9" t="s">
        <v>42</v>
      </c>
      <c r="R9" t="s">
        <v>540</v>
      </c>
      <c r="S9" t="s">
        <v>561</v>
      </c>
      <c r="V9" t="s">
        <v>548</v>
      </c>
      <c r="W9" s="2" t="s">
        <v>562</v>
      </c>
      <c r="AE9" t="s">
        <v>679</v>
      </c>
      <c r="AH9" t="s">
        <v>642</v>
      </c>
      <c r="AI9" t="s">
        <v>428</v>
      </c>
      <c r="AJ9" t="s">
        <v>428</v>
      </c>
    </row>
    <row r="10" spans="1:36" x14ac:dyDescent="0.2">
      <c r="A10" t="s">
        <v>435</v>
      </c>
      <c r="B10" t="s">
        <v>37</v>
      </c>
      <c r="C10" t="s">
        <v>434</v>
      </c>
      <c r="D10" t="s">
        <v>436</v>
      </c>
      <c r="E10" t="s">
        <v>416</v>
      </c>
      <c r="F10" t="s">
        <v>437</v>
      </c>
      <c r="G10" t="s">
        <v>438</v>
      </c>
      <c r="J10" t="s">
        <v>518</v>
      </c>
      <c r="L10">
        <v>81800</v>
      </c>
      <c r="M10" t="s">
        <v>42</v>
      </c>
      <c r="R10" t="s">
        <v>539</v>
      </c>
      <c r="S10" t="s">
        <v>563</v>
      </c>
      <c r="V10" t="s">
        <v>548</v>
      </c>
      <c r="W10" s="2" t="s">
        <v>564</v>
      </c>
      <c r="Y10" t="s">
        <v>546</v>
      </c>
      <c r="AE10" t="s">
        <v>544</v>
      </c>
      <c r="AH10" t="s">
        <v>643</v>
      </c>
      <c r="AI10" t="s">
        <v>428</v>
      </c>
      <c r="AJ10" t="s">
        <v>428</v>
      </c>
    </row>
    <row r="11" spans="1:36" x14ac:dyDescent="0.2">
      <c r="A11" t="s">
        <v>439</v>
      </c>
      <c r="B11" t="s">
        <v>37</v>
      </c>
      <c r="C11" t="s">
        <v>414</v>
      </c>
      <c r="D11" t="s">
        <v>422</v>
      </c>
      <c r="E11" t="s">
        <v>416</v>
      </c>
      <c r="G11" t="s">
        <v>440</v>
      </c>
      <c r="J11" t="s">
        <v>519</v>
      </c>
      <c r="L11">
        <v>81800</v>
      </c>
      <c r="M11" t="s">
        <v>42</v>
      </c>
      <c r="R11" t="s">
        <v>60</v>
      </c>
      <c r="U11" t="s">
        <v>565</v>
      </c>
      <c r="V11" t="s">
        <v>544</v>
      </c>
      <c r="W11" s="2" t="s">
        <v>566</v>
      </c>
      <c r="Y11" t="s">
        <v>552</v>
      </c>
      <c r="AE11" t="s">
        <v>679</v>
      </c>
      <c r="AH11" t="s">
        <v>644</v>
      </c>
      <c r="AI11" t="s">
        <v>682</v>
      </c>
      <c r="AJ11">
        <v>9776831743</v>
      </c>
    </row>
    <row r="12" spans="1:36" x14ac:dyDescent="0.2">
      <c r="A12" t="s">
        <v>441</v>
      </c>
      <c r="B12" t="s">
        <v>37</v>
      </c>
      <c r="C12" t="s">
        <v>434</v>
      </c>
      <c r="D12" t="s">
        <v>428</v>
      </c>
      <c r="E12" t="s">
        <v>428</v>
      </c>
      <c r="F12" t="s">
        <v>189</v>
      </c>
      <c r="G12">
        <v>97547618</v>
      </c>
      <c r="J12" t="s">
        <v>520</v>
      </c>
      <c r="L12">
        <v>680552</v>
      </c>
      <c r="M12" t="s">
        <v>42</v>
      </c>
      <c r="R12" t="s">
        <v>541</v>
      </c>
      <c r="S12" t="s">
        <v>567</v>
      </c>
      <c r="V12" t="s">
        <v>548</v>
      </c>
      <c r="W12" s="2" t="s">
        <v>568</v>
      </c>
      <c r="AE12" t="s">
        <v>544</v>
      </c>
      <c r="AH12" t="s">
        <v>645</v>
      </c>
      <c r="AI12" t="s">
        <v>428</v>
      </c>
      <c r="AJ12" t="s">
        <v>428</v>
      </c>
    </row>
    <row r="13" spans="1:36" x14ac:dyDescent="0.2">
      <c r="A13" t="s">
        <v>442</v>
      </c>
      <c r="B13" t="s">
        <v>37</v>
      </c>
      <c r="C13" t="s">
        <v>414</v>
      </c>
      <c r="D13" t="s">
        <v>443</v>
      </c>
      <c r="E13" t="s">
        <v>444</v>
      </c>
      <c r="G13" t="s">
        <v>445</v>
      </c>
      <c r="J13" t="s">
        <v>515</v>
      </c>
      <c r="L13">
        <v>81800</v>
      </c>
      <c r="M13" t="s">
        <v>42</v>
      </c>
      <c r="R13" t="s">
        <v>60</v>
      </c>
      <c r="U13" t="s">
        <v>569</v>
      </c>
      <c r="V13" t="s">
        <v>544</v>
      </c>
      <c r="W13" s="2" t="s">
        <v>570</v>
      </c>
      <c r="Y13" t="s">
        <v>552</v>
      </c>
      <c r="AE13" t="s">
        <v>679</v>
      </c>
      <c r="AH13" t="s">
        <v>646</v>
      </c>
      <c r="AI13" t="s">
        <v>428</v>
      </c>
      <c r="AJ13" t="s">
        <v>428</v>
      </c>
    </row>
    <row r="14" spans="1:36" x14ac:dyDescent="0.2">
      <c r="A14" t="s">
        <v>446</v>
      </c>
      <c r="B14" t="s">
        <v>37</v>
      </c>
      <c r="C14" t="s">
        <v>414</v>
      </c>
      <c r="D14" t="s">
        <v>430</v>
      </c>
      <c r="E14" t="s">
        <v>431</v>
      </c>
      <c r="G14" t="s">
        <v>447</v>
      </c>
      <c r="J14" t="s">
        <v>515</v>
      </c>
      <c r="L14">
        <v>81800</v>
      </c>
      <c r="M14" t="s">
        <v>42</v>
      </c>
      <c r="R14" t="s">
        <v>60</v>
      </c>
      <c r="U14" t="s">
        <v>571</v>
      </c>
      <c r="V14" t="s">
        <v>544</v>
      </c>
      <c r="W14" s="2" t="s">
        <v>572</v>
      </c>
      <c r="Y14" t="s">
        <v>552</v>
      </c>
      <c r="AE14" t="s">
        <v>679</v>
      </c>
      <c r="AH14" t="s">
        <v>647</v>
      </c>
      <c r="AI14" t="s">
        <v>683</v>
      </c>
      <c r="AJ14">
        <v>9448211137</v>
      </c>
    </row>
    <row r="15" spans="1:36" x14ac:dyDescent="0.2">
      <c r="A15" t="s">
        <v>448</v>
      </c>
      <c r="B15" t="s">
        <v>37</v>
      </c>
      <c r="C15" t="s">
        <v>414</v>
      </c>
      <c r="D15" t="s">
        <v>443</v>
      </c>
      <c r="E15" t="s">
        <v>444</v>
      </c>
      <c r="G15" t="s">
        <v>449</v>
      </c>
      <c r="J15" t="s">
        <v>519</v>
      </c>
      <c r="L15">
        <v>81800</v>
      </c>
      <c r="M15" t="s">
        <v>42</v>
      </c>
      <c r="R15" t="s">
        <v>60</v>
      </c>
      <c r="U15" t="s">
        <v>573</v>
      </c>
      <c r="V15" t="s">
        <v>544</v>
      </c>
      <c r="W15" s="2" t="s">
        <v>574</v>
      </c>
      <c r="Y15" t="s">
        <v>552</v>
      </c>
      <c r="AE15" t="s">
        <v>544</v>
      </c>
      <c r="AH15" t="s">
        <v>648</v>
      </c>
      <c r="AI15" t="s">
        <v>684</v>
      </c>
      <c r="AJ15">
        <v>9755836650</v>
      </c>
    </row>
    <row r="16" spans="1:36" x14ac:dyDescent="0.2">
      <c r="A16" t="s">
        <v>431</v>
      </c>
      <c r="B16" t="s">
        <v>37</v>
      </c>
      <c r="C16" t="s">
        <v>414</v>
      </c>
      <c r="D16" t="s">
        <v>450</v>
      </c>
      <c r="E16" t="s">
        <v>416</v>
      </c>
      <c r="G16" t="s">
        <v>451</v>
      </c>
      <c r="J16" t="s">
        <v>521</v>
      </c>
      <c r="L16">
        <v>86200</v>
      </c>
      <c r="M16" t="s">
        <v>42</v>
      </c>
      <c r="R16" t="s">
        <v>539</v>
      </c>
      <c r="S16" t="s">
        <v>575</v>
      </c>
      <c r="V16" t="s">
        <v>544</v>
      </c>
      <c r="W16" s="2" t="s">
        <v>576</v>
      </c>
      <c r="Y16" t="s">
        <v>546</v>
      </c>
      <c r="AE16" t="s">
        <v>678</v>
      </c>
      <c r="AH16" t="s">
        <v>649</v>
      </c>
      <c r="AI16" t="s">
        <v>428</v>
      </c>
      <c r="AJ16" t="s">
        <v>428</v>
      </c>
    </row>
    <row r="17" spans="1:36" x14ac:dyDescent="0.2">
      <c r="A17" t="s">
        <v>452</v>
      </c>
      <c r="B17" t="s">
        <v>37</v>
      </c>
      <c r="C17" t="s">
        <v>209</v>
      </c>
      <c r="D17" t="s">
        <v>91</v>
      </c>
      <c r="E17" t="s">
        <v>428</v>
      </c>
      <c r="F17" t="s">
        <v>211</v>
      </c>
      <c r="G17" t="s">
        <v>453</v>
      </c>
      <c r="J17" t="s">
        <v>522</v>
      </c>
      <c r="L17">
        <v>81800</v>
      </c>
      <c r="M17" t="s">
        <v>42</v>
      </c>
      <c r="R17" t="s">
        <v>540</v>
      </c>
      <c r="U17" t="s">
        <v>577</v>
      </c>
      <c r="V17" t="s">
        <v>544</v>
      </c>
      <c r="W17" s="2" t="s">
        <v>578</v>
      </c>
      <c r="Y17" t="s">
        <v>579</v>
      </c>
      <c r="AE17" t="s">
        <v>544</v>
      </c>
      <c r="AH17" t="s">
        <v>650</v>
      </c>
      <c r="AI17" t="s">
        <v>428</v>
      </c>
      <c r="AJ17" t="s">
        <v>428</v>
      </c>
    </row>
    <row r="18" spans="1:36" x14ac:dyDescent="0.2">
      <c r="A18" t="s">
        <v>454</v>
      </c>
      <c r="B18" t="s">
        <v>37</v>
      </c>
      <c r="C18" t="s">
        <v>209</v>
      </c>
      <c r="D18" t="s">
        <v>91</v>
      </c>
      <c r="E18" t="s">
        <v>428</v>
      </c>
      <c r="F18" t="s">
        <v>255</v>
      </c>
      <c r="G18" t="s">
        <v>455</v>
      </c>
      <c r="J18" t="s">
        <v>523</v>
      </c>
      <c r="L18">
        <v>81800</v>
      </c>
      <c r="M18" t="s">
        <v>42</v>
      </c>
      <c r="R18" t="s">
        <v>540</v>
      </c>
      <c r="U18" t="s">
        <v>580</v>
      </c>
      <c r="V18" t="s">
        <v>544</v>
      </c>
      <c r="W18" s="2" t="s">
        <v>578</v>
      </c>
      <c r="Y18" t="s">
        <v>581</v>
      </c>
      <c r="AE18" t="s">
        <v>544</v>
      </c>
      <c r="AH18" t="s">
        <v>651</v>
      </c>
      <c r="AI18" t="s">
        <v>428</v>
      </c>
      <c r="AJ18" t="s">
        <v>428</v>
      </c>
    </row>
    <row r="19" spans="1:36" x14ac:dyDescent="0.2">
      <c r="A19" t="s">
        <v>240</v>
      </c>
      <c r="B19" t="s">
        <v>37</v>
      </c>
      <c r="C19" t="s">
        <v>209</v>
      </c>
      <c r="D19" t="s">
        <v>91</v>
      </c>
      <c r="E19" t="s">
        <v>428</v>
      </c>
      <c r="G19" t="s">
        <v>456</v>
      </c>
      <c r="J19" t="s">
        <v>524</v>
      </c>
      <c r="L19">
        <v>81800</v>
      </c>
      <c r="M19" t="s">
        <v>42</v>
      </c>
      <c r="R19" t="s">
        <v>540</v>
      </c>
      <c r="U19" t="s">
        <v>582</v>
      </c>
      <c r="V19" t="s">
        <v>544</v>
      </c>
      <c r="W19" s="2" t="s">
        <v>583</v>
      </c>
      <c r="Y19" t="s">
        <v>581</v>
      </c>
      <c r="AE19" t="s">
        <v>544</v>
      </c>
      <c r="AH19" t="s">
        <v>652</v>
      </c>
      <c r="AI19" t="s">
        <v>428</v>
      </c>
      <c r="AJ19" t="s">
        <v>428</v>
      </c>
    </row>
    <row r="20" spans="1:36" x14ac:dyDescent="0.2">
      <c r="A20" t="s">
        <v>444</v>
      </c>
      <c r="B20" t="s">
        <v>37</v>
      </c>
      <c r="C20" t="s">
        <v>414</v>
      </c>
      <c r="D20" t="s">
        <v>443</v>
      </c>
      <c r="E20" t="s">
        <v>416</v>
      </c>
      <c r="G20">
        <v>177401187</v>
      </c>
      <c r="J20" t="s">
        <v>519</v>
      </c>
      <c r="L20">
        <v>81800</v>
      </c>
      <c r="M20" t="s">
        <v>42</v>
      </c>
      <c r="R20" t="s">
        <v>542</v>
      </c>
      <c r="U20" t="s">
        <v>584</v>
      </c>
      <c r="V20" t="s">
        <v>544</v>
      </c>
      <c r="W20" s="2" t="s">
        <v>585</v>
      </c>
      <c r="Y20" t="s">
        <v>586</v>
      </c>
      <c r="AE20" t="s">
        <v>544</v>
      </c>
      <c r="AH20" t="s">
        <v>653</v>
      </c>
      <c r="AI20" t="s">
        <v>428</v>
      </c>
      <c r="AJ20" t="s">
        <v>428</v>
      </c>
    </row>
    <row r="21" spans="1:36" x14ac:dyDescent="0.2">
      <c r="A21" t="s">
        <v>457</v>
      </c>
      <c r="B21" t="s">
        <v>37</v>
      </c>
      <c r="C21" t="s">
        <v>414</v>
      </c>
      <c r="D21" t="s">
        <v>422</v>
      </c>
      <c r="E21" t="s">
        <v>428</v>
      </c>
      <c r="J21" t="s">
        <v>517</v>
      </c>
      <c r="L21">
        <v>81800</v>
      </c>
      <c r="M21" t="s">
        <v>42</v>
      </c>
      <c r="R21" t="s">
        <v>60</v>
      </c>
      <c r="U21" t="s">
        <v>587</v>
      </c>
      <c r="V21" t="s">
        <v>544</v>
      </c>
      <c r="W21" s="2" t="s">
        <v>588</v>
      </c>
      <c r="Y21" t="s">
        <v>552</v>
      </c>
      <c r="AE21" t="s">
        <v>544</v>
      </c>
      <c r="AH21" t="s">
        <v>654</v>
      </c>
      <c r="AI21" t="s">
        <v>428</v>
      </c>
      <c r="AJ21" t="s">
        <v>428</v>
      </c>
    </row>
    <row r="22" spans="1:36" x14ac:dyDescent="0.2">
      <c r="A22" t="s">
        <v>458</v>
      </c>
      <c r="B22" t="s">
        <v>37</v>
      </c>
      <c r="C22" t="s">
        <v>414</v>
      </c>
      <c r="D22" t="s">
        <v>430</v>
      </c>
      <c r="E22" t="s">
        <v>416</v>
      </c>
      <c r="G22" t="s">
        <v>459</v>
      </c>
      <c r="J22" t="s">
        <v>525</v>
      </c>
      <c r="L22">
        <v>81800</v>
      </c>
      <c r="M22" t="s">
        <v>42</v>
      </c>
      <c r="R22" t="s">
        <v>60</v>
      </c>
      <c r="U22" t="s">
        <v>589</v>
      </c>
      <c r="V22" t="s">
        <v>548</v>
      </c>
      <c r="W22" s="2" t="s">
        <v>590</v>
      </c>
      <c r="Y22" t="s">
        <v>552</v>
      </c>
      <c r="AE22" t="s">
        <v>679</v>
      </c>
      <c r="AH22" t="s">
        <v>655</v>
      </c>
      <c r="AI22" t="s">
        <v>428</v>
      </c>
      <c r="AJ22" t="s">
        <v>428</v>
      </c>
    </row>
    <row r="23" spans="1:36" x14ac:dyDescent="0.2">
      <c r="A23" t="s">
        <v>460</v>
      </c>
      <c r="B23" t="s">
        <v>37</v>
      </c>
      <c r="C23" t="s">
        <v>414</v>
      </c>
      <c r="D23" t="s">
        <v>461</v>
      </c>
      <c r="E23" t="s">
        <v>416</v>
      </c>
      <c r="G23" t="s">
        <v>462</v>
      </c>
      <c r="J23" t="s">
        <v>526</v>
      </c>
      <c r="L23">
        <v>81800</v>
      </c>
      <c r="M23" t="s">
        <v>42</v>
      </c>
      <c r="R23" t="s">
        <v>60</v>
      </c>
      <c r="U23" t="s">
        <v>591</v>
      </c>
      <c r="V23" t="s">
        <v>544</v>
      </c>
      <c r="W23" s="2" t="s">
        <v>592</v>
      </c>
      <c r="Y23" t="s">
        <v>552</v>
      </c>
      <c r="AE23" t="s">
        <v>544</v>
      </c>
      <c r="AH23" t="s">
        <v>656</v>
      </c>
      <c r="AI23" t="s">
        <v>428</v>
      </c>
      <c r="AJ23" t="s">
        <v>428</v>
      </c>
    </row>
    <row r="24" spans="1:36" x14ac:dyDescent="0.2">
      <c r="A24" t="s">
        <v>463</v>
      </c>
      <c r="B24" t="s">
        <v>37</v>
      </c>
      <c r="C24" t="s">
        <v>414</v>
      </c>
      <c r="D24" t="s">
        <v>430</v>
      </c>
      <c r="E24" t="s">
        <v>431</v>
      </c>
      <c r="G24" t="s">
        <v>464</v>
      </c>
      <c r="J24" t="s">
        <v>515</v>
      </c>
      <c r="L24">
        <v>81800</v>
      </c>
      <c r="M24" t="s">
        <v>42</v>
      </c>
      <c r="R24" t="s">
        <v>60</v>
      </c>
      <c r="U24" t="s">
        <v>593</v>
      </c>
      <c r="V24" t="s">
        <v>544</v>
      </c>
      <c r="W24" s="2" t="s">
        <v>594</v>
      </c>
      <c r="Y24" t="s">
        <v>552</v>
      </c>
      <c r="AE24" t="s">
        <v>679</v>
      </c>
      <c r="AH24" t="s">
        <v>657</v>
      </c>
      <c r="AI24" t="s">
        <v>428</v>
      </c>
      <c r="AJ24" t="s">
        <v>428</v>
      </c>
    </row>
    <row r="25" spans="1:36" x14ac:dyDescent="0.2">
      <c r="A25" t="s">
        <v>465</v>
      </c>
      <c r="B25" t="s">
        <v>37</v>
      </c>
      <c r="C25" t="s">
        <v>414</v>
      </c>
      <c r="D25" t="s">
        <v>443</v>
      </c>
      <c r="E25" t="s">
        <v>416</v>
      </c>
      <c r="G25" t="s">
        <v>466</v>
      </c>
      <c r="J25" t="s">
        <v>525</v>
      </c>
      <c r="L25">
        <v>81800</v>
      </c>
      <c r="M25" t="s">
        <v>42</v>
      </c>
      <c r="R25" t="s">
        <v>60</v>
      </c>
      <c r="U25" t="s">
        <v>595</v>
      </c>
      <c r="V25" t="s">
        <v>544</v>
      </c>
      <c r="W25" s="2" t="s">
        <v>596</v>
      </c>
      <c r="Y25" t="s">
        <v>552</v>
      </c>
      <c r="AE25" t="s">
        <v>544</v>
      </c>
      <c r="AH25" t="s">
        <v>658</v>
      </c>
      <c r="AI25" t="s">
        <v>428</v>
      </c>
      <c r="AJ25" t="s">
        <v>428</v>
      </c>
    </row>
    <row r="26" spans="1:36" x14ac:dyDescent="0.2">
      <c r="A26" t="s">
        <v>467</v>
      </c>
      <c r="B26" t="s">
        <v>37</v>
      </c>
      <c r="C26" t="s">
        <v>468</v>
      </c>
      <c r="D26" t="s">
        <v>469</v>
      </c>
      <c r="E26" t="s">
        <v>416</v>
      </c>
      <c r="G26" t="s">
        <v>470</v>
      </c>
      <c r="J26" t="s">
        <v>527</v>
      </c>
      <c r="M26" t="s">
        <v>42</v>
      </c>
      <c r="R26" t="s">
        <v>60</v>
      </c>
      <c r="U26" t="s">
        <v>597</v>
      </c>
      <c r="V26" t="s">
        <v>544</v>
      </c>
      <c r="W26" s="2" t="s">
        <v>598</v>
      </c>
      <c r="Y26" t="s">
        <v>552</v>
      </c>
      <c r="AE26" t="s">
        <v>544</v>
      </c>
      <c r="AH26" t="s">
        <v>659</v>
      </c>
      <c r="AI26" t="s">
        <v>428</v>
      </c>
      <c r="AJ26" t="s">
        <v>428</v>
      </c>
    </row>
    <row r="27" spans="1:36" x14ac:dyDescent="0.2">
      <c r="A27" t="s">
        <v>416</v>
      </c>
      <c r="B27" t="s">
        <v>37</v>
      </c>
      <c r="C27" t="s">
        <v>434</v>
      </c>
      <c r="D27" t="s">
        <v>471</v>
      </c>
      <c r="E27" t="s">
        <v>452</v>
      </c>
      <c r="F27" t="s">
        <v>472</v>
      </c>
      <c r="G27" t="s">
        <v>473</v>
      </c>
      <c r="J27" t="s">
        <v>528</v>
      </c>
      <c r="L27">
        <v>81800</v>
      </c>
      <c r="M27" t="s">
        <v>42</v>
      </c>
      <c r="R27" t="s">
        <v>539</v>
      </c>
      <c r="S27" t="s">
        <v>599</v>
      </c>
      <c r="V27" t="s">
        <v>544</v>
      </c>
      <c r="W27" s="2" t="s">
        <v>600</v>
      </c>
      <c r="Y27" t="s">
        <v>546</v>
      </c>
      <c r="AE27" t="s">
        <v>544</v>
      </c>
      <c r="AH27" t="s">
        <v>660</v>
      </c>
      <c r="AI27" t="s">
        <v>428</v>
      </c>
      <c r="AJ27" t="s">
        <v>428</v>
      </c>
    </row>
    <row r="28" spans="1:36" x14ac:dyDescent="0.2">
      <c r="A28" t="s">
        <v>474</v>
      </c>
      <c r="B28" t="s">
        <v>37</v>
      </c>
      <c r="C28" t="s">
        <v>434</v>
      </c>
      <c r="D28" t="s">
        <v>475</v>
      </c>
      <c r="E28" t="s">
        <v>416</v>
      </c>
      <c r="J28" t="s">
        <v>529</v>
      </c>
      <c r="L28">
        <v>81800</v>
      </c>
      <c r="M28" t="s">
        <v>42</v>
      </c>
      <c r="R28" t="s">
        <v>539</v>
      </c>
      <c r="S28" t="s">
        <v>601</v>
      </c>
      <c r="V28" t="s">
        <v>548</v>
      </c>
      <c r="W28" s="2" t="s">
        <v>602</v>
      </c>
      <c r="Y28" t="s">
        <v>546</v>
      </c>
      <c r="AE28" t="s">
        <v>544</v>
      </c>
      <c r="AH28" t="s">
        <v>661</v>
      </c>
      <c r="AI28" t="s">
        <v>428</v>
      </c>
      <c r="AJ28" t="s">
        <v>428</v>
      </c>
    </row>
    <row r="29" spans="1:36" x14ac:dyDescent="0.2">
      <c r="A29" t="s">
        <v>476</v>
      </c>
      <c r="B29" t="s">
        <v>37</v>
      </c>
      <c r="C29" t="s">
        <v>434</v>
      </c>
      <c r="D29" t="s">
        <v>477</v>
      </c>
      <c r="E29" t="s">
        <v>416</v>
      </c>
      <c r="F29" t="s">
        <v>478</v>
      </c>
      <c r="G29" t="s">
        <v>479</v>
      </c>
      <c r="J29" t="s">
        <v>530</v>
      </c>
      <c r="L29">
        <v>81800</v>
      </c>
      <c r="M29" t="s">
        <v>42</v>
      </c>
      <c r="R29" t="s">
        <v>539</v>
      </c>
      <c r="S29" t="s">
        <v>603</v>
      </c>
      <c r="V29" t="s">
        <v>548</v>
      </c>
      <c r="W29" s="2" t="s">
        <v>604</v>
      </c>
      <c r="Y29" t="s">
        <v>546</v>
      </c>
      <c r="AE29" t="s">
        <v>544</v>
      </c>
      <c r="AH29" t="s">
        <v>662</v>
      </c>
      <c r="AI29" t="s">
        <v>428</v>
      </c>
      <c r="AJ29" t="s">
        <v>428</v>
      </c>
    </row>
    <row r="30" spans="1:36" x14ac:dyDescent="0.2">
      <c r="A30" t="s">
        <v>480</v>
      </c>
      <c r="B30" t="s">
        <v>37</v>
      </c>
      <c r="C30" t="s">
        <v>434</v>
      </c>
      <c r="D30" t="s">
        <v>481</v>
      </c>
      <c r="E30" t="s">
        <v>416</v>
      </c>
      <c r="F30" t="s">
        <v>482</v>
      </c>
      <c r="G30" t="s">
        <v>483</v>
      </c>
      <c r="J30" t="s">
        <v>531</v>
      </c>
      <c r="L30">
        <v>81800</v>
      </c>
      <c r="M30" t="s">
        <v>42</v>
      </c>
      <c r="R30" t="s">
        <v>539</v>
      </c>
      <c r="S30" t="s">
        <v>605</v>
      </c>
      <c r="V30" t="s">
        <v>548</v>
      </c>
      <c r="W30" s="2" t="s">
        <v>606</v>
      </c>
      <c r="Y30" t="s">
        <v>546</v>
      </c>
      <c r="AE30" t="s">
        <v>544</v>
      </c>
      <c r="AH30" t="s">
        <v>663</v>
      </c>
      <c r="AI30" t="s">
        <v>428</v>
      </c>
      <c r="AJ30" t="s">
        <v>428</v>
      </c>
    </row>
    <row r="31" spans="1:36" x14ac:dyDescent="0.2">
      <c r="A31" t="s">
        <v>484</v>
      </c>
      <c r="B31" t="s">
        <v>37</v>
      </c>
      <c r="C31" t="s">
        <v>414</v>
      </c>
      <c r="D31" t="s">
        <v>422</v>
      </c>
      <c r="E31" t="s">
        <v>416</v>
      </c>
      <c r="G31" t="s">
        <v>485</v>
      </c>
      <c r="J31" t="s">
        <v>527</v>
      </c>
      <c r="M31" t="s">
        <v>42</v>
      </c>
      <c r="R31" t="s">
        <v>60</v>
      </c>
      <c r="U31" t="s">
        <v>607</v>
      </c>
      <c r="V31" t="s">
        <v>544</v>
      </c>
      <c r="W31" s="2" t="s">
        <v>608</v>
      </c>
      <c r="Y31" t="s">
        <v>552</v>
      </c>
      <c r="AE31" t="s">
        <v>544</v>
      </c>
      <c r="AH31" t="s">
        <v>664</v>
      </c>
      <c r="AI31" t="s">
        <v>428</v>
      </c>
      <c r="AJ31" t="s">
        <v>428</v>
      </c>
    </row>
    <row r="32" spans="1:36" x14ac:dyDescent="0.2">
      <c r="A32" t="s">
        <v>486</v>
      </c>
      <c r="B32" t="s">
        <v>37</v>
      </c>
      <c r="C32" t="s">
        <v>468</v>
      </c>
      <c r="D32" t="s">
        <v>487</v>
      </c>
      <c r="E32" t="s">
        <v>416</v>
      </c>
      <c r="F32" t="s">
        <v>488</v>
      </c>
      <c r="G32" t="s">
        <v>489</v>
      </c>
      <c r="J32" t="s">
        <v>532</v>
      </c>
      <c r="L32">
        <v>81800</v>
      </c>
      <c r="M32" t="s">
        <v>42</v>
      </c>
      <c r="R32" t="s">
        <v>539</v>
      </c>
      <c r="S32" t="s">
        <v>609</v>
      </c>
      <c r="V32" t="s">
        <v>548</v>
      </c>
      <c r="W32" s="2" t="s">
        <v>610</v>
      </c>
      <c r="Y32" t="s">
        <v>546</v>
      </c>
      <c r="AE32" t="s">
        <v>544</v>
      </c>
      <c r="AH32" t="s">
        <v>665</v>
      </c>
      <c r="AI32" t="s">
        <v>428</v>
      </c>
      <c r="AJ32" t="s">
        <v>428</v>
      </c>
    </row>
    <row r="33" spans="1:36" x14ac:dyDescent="0.2">
      <c r="A33" t="s">
        <v>490</v>
      </c>
      <c r="B33" t="s">
        <v>37</v>
      </c>
      <c r="C33" t="s">
        <v>468</v>
      </c>
      <c r="D33" t="s">
        <v>469</v>
      </c>
      <c r="E33" t="s">
        <v>486</v>
      </c>
      <c r="G33" t="s">
        <v>491</v>
      </c>
      <c r="J33" t="s">
        <v>533</v>
      </c>
      <c r="L33">
        <v>81800</v>
      </c>
      <c r="M33" t="s">
        <v>42</v>
      </c>
      <c r="R33" t="s">
        <v>60</v>
      </c>
      <c r="U33" t="s">
        <v>611</v>
      </c>
      <c r="V33" t="s">
        <v>544</v>
      </c>
      <c r="W33" s="2" t="s">
        <v>612</v>
      </c>
      <c r="Y33" t="s">
        <v>552</v>
      </c>
      <c r="AE33" t="s">
        <v>544</v>
      </c>
      <c r="AH33" t="s">
        <v>666</v>
      </c>
      <c r="AI33" t="s">
        <v>428</v>
      </c>
      <c r="AJ33" t="s">
        <v>428</v>
      </c>
    </row>
    <row r="34" spans="1:36" x14ac:dyDescent="0.2">
      <c r="A34" t="s">
        <v>492</v>
      </c>
      <c r="B34" t="s">
        <v>37</v>
      </c>
      <c r="C34" t="s">
        <v>414</v>
      </c>
      <c r="D34" t="s">
        <v>461</v>
      </c>
      <c r="E34" t="s">
        <v>416</v>
      </c>
      <c r="G34" t="s">
        <v>493</v>
      </c>
      <c r="J34" t="s">
        <v>526</v>
      </c>
      <c r="L34">
        <v>81800</v>
      </c>
      <c r="M34" t="s">
        <v>42</v>
      </c>
      <c r="R34" t="s">
        <v>60</v>
      </c>
      <c r="U34" t="s">
        <v>613</v>
      </c>
      <c r="V34" t="s">
        <v>544</v>
      </c>
      <c r="W34" s="2" t="s">
        <v>614</v>
      </c>
      <c r="Y34" t="s">
        <v>552</v>
      </c>
      <c r="AE34" t="s">
        <v>544</v>
      </c>
      <c r="AH34" t="s">
        <v>667</v>
      </c>
      <c r="AI34" t="s">
        <v>428</v>
      </c>
      <c r="AJ34" t="s">
        <v>428</v>
      </c>
    </row>
    <row r="35" spans="1:36" x14ac:dyDescent="0.2">
      <c r="A35" t="s">
        <v>494</v>
      </c>
      <c r="B35" t="s">
        <v>37</v>
      </c>
      <c r="C35" t="s">
        <v>414</v>
      </c>
      <c r="D35" t="s">
        <v>422</v>
      </c>
      <c r="E35" t="s">
        <v>416</v>
      </c>
      <c r="G35" t="s">
        <v>495</v>
      </c>
      <c r="J35" t="s">
        <v>534</v>
      </c>
      <c r="L35">
        <v>81800</v>
      </c>
      <c r="M35" t="s">
        <v>42</v>
      </c>
      <c r="R35" t="s">
        <v>60</v>
      </c>
      <c r="U35" t="s">
        <v>615</v>
      </c>
      <c r="V35" t="s">
        <v>544</v>
      </c>
      <c r="W35" s="2" t="s">
        <v>616</v>
      </c>
      <c r="Y35" t="s">
        <v>552</v>
      </c>
      <c r="AE35" t="s">
        <v>679</v>
      </c>
      <c r="AH35" t="s">
        <v>668</v>
      </c>
      <c r="AI35" t="s">
        <v>428</v>
      </c>
      <c r="AJ35" t="s">
        <v>428</v>
      </c>
    </row>
    <row r="36" spans="1:36" x14ac:dyDescent="0.2">
      <c r="A36" t="s">
        <v>496</v>
      </c>
      <c r="B36" t="s">
        <v>37</v>
      </c>
      <c r="C36" t="s">
        <v>468</v>
      </c>
      <c r="D36" t="s">
        <v>487</v>
      </c>
      <c r="E36" t="s">
        <v>416</v>
      </c>
      <c r="G36" t="s">
        <v>497</v>
      </c>
      <c r="J36" t="s">
        <v>535</v>
      </c>
      <c r="L36">
        <v>86200</v>
      </c>
      <c r="M36" t="s">
        <v>42</v>
      </c>
      <c r="R36" t="s">
        <v>539</v>
      </c>
      <c r="S36" t="s">
        <v>617</v>
      </c>
      <c r="V36" t="s">
        <v>544</v>
      </c>
      <c r="W36" s="2" t="s">
        <v>618</v>
      </c>
      <c r="Y36" t="s">
        <v>546</v>
      </c>
      <c r="AE36" t="s">
        <v>679</v>
      </c>
      <c r="AH36" t="s">
        <v>669</v>
      </c>
      <c r="AI36" t="s">
        <v>428</v>
      </c>
      <c r="AJ36" t="s">
        <v>428</v>
      </c>
    </row>
    <row r="37" spans="1:36" x14ac:dyDescent="0.2">
      <c r="A37" t="s">
        <v>498</v>
      </c>
      <c r="B37" t="s">
        <v>37</v>
      </c>
      <c r="C37" t="s">
        <v>468</v>
      </c>
      <c r="D37" t="s">
        <v>469</v>
      </c>
      <c r="E37" t="s">
        <v>486</v>
      </c>
      <c r="G37" t="s">
        <v>499</v>
      </c>
      <c r="J37" t="s">
        <v>536</v>
      </c>
      <c r="L37">
        <v>81700</v>
      </c>
      <c r="M37" t="s">
        <v>42</v>
      </c>
      <c r="R37" t="s">
        <v>539</v>
      </c>
      <c r="S37" t="s">
        <v>619</v>
      </c>
      <c r="V37" t="s">
        <v>548</v>
      </c>
      <c r="W37" s="2" t="s">
        <v>620</v>
      </c>
      <c r="Y37" t="s">
        <v>546</v>
      </c>
      <c r="AE37" t="s">
        <v>544</v>
      </c>
      <c r="AH37" t="s">
        <v>670</v>
      </c>
      <c r="AI37" t="s">
        <v>428</v>
      </c>
      <c r="AJ37" t="s">
        <v>428</v>
      </c>
    </row>
    <row r="38" spans="1:36" x14ac:dyDescent="0.2">
      <c r="A38" t="s">
        <v>500</v>
      </c>
      <c r="B38" t="s">
        <v>37</v>
      </c>
      <c r="C38" t="s">
        <v>414</v>
      </c>
      <c r="D38" t="s">
        <v>422</v>
      </c>
      <c r="E38" t="s">
        <v>416</v>
      </c>
      <c r="G38" t="s">
        <v>501</v>
      </c>
      <c r="J38" t="s">
        <v>537</v>
      </c>
      <c r="M38" t="s">
        <v>42</v>
      </c>
      <c r="R38" t="s">
        <v>60</v>
      </c>
      <c r="U38" t="s">
        <v>621</v>
      </c>
      <c r="V38" t="s">
        <v>544</v>
      </c>
      <c r="W38" s="2" t="s">
        <v>622</v>
      </c>
      <c r="Y38" t="s">
        <v>552</v>
      </c>
      <c r="AE38" t="s">
        <v>544</v>
      </c>
      <c r="AH38" t="s">
        <v>671</v>
      </c>
      <c r="AI38" t="s">
        <v>428</v>
      </c>
      <c r="AJ38" t="s">
        <v>428</v>
      </c>
    </row>
    <row r="39" spans="1:36" x14ac:dyDescent="0.2">
      <c r="A39" t="s">
        <v>502</v>
      </c>
      <c r="B39" t="s">
        <v>37</v>
      </c>
      <c r="C39" t="s">
        <v>414</v>
      </c>
      <c r="D39" t="s">
        <v>443</v>
      </c>
      <c r="E39" t="s">
        <v>428</v>
      </c>
      <c r="J39" t="s">
        <v>519</v>
      </c>
      <c r="L39">
        <v>81800</v>
      </c>
      <c r="M39" t="s">
        <v>42</v>
      </c>
      <c r="R39" t="s">
        <v>60</v>
      </c>
      <c r="U39" t="s">
        <v>623</v>
      </c>
      <c r="V39" t="s">
        <v>544</v>
      </c>
      <c r="W39" s="2" t="s">
        <v>624</v>
      </c>
      <c r="Y39" t="s">
        <v>552</v>
      </c>
      <c r="AE39" t="s">
        <v>544</v>
      </c>
      <c r="AH39" t="s">
        <v>672</v>
      </c>
      <c r="AI39" t="s">
        <v>428</v>
      </c>
      <c r="AJ39" t="s">
        <v>428</v>
      </c>
    </row>
    <row r="40" spans="1:36" x14ac:dyDescent="0.2">
      <c r="A40" t="s">
        <v>503</v>
      </c>
      <c r="B40" t="s">
        <v>37</v>
      </c>
      <c r="C40" t="s">
        <v>414</v>
      </c>
      <c r="D40" t="s">
        <v>443</v>
      </c>
      <c r="E40" t="s">
        <v>444</v>
      </c>
      <c r="G40" t="s">
        <v>504</v>
      </c>
      <c r="J40" t="s">
        <v>515</v>
      </c>
      <c r="L40">
        <v>81800</v>
      </c>
      <c r="M40" t="s">
        <v>42</v>
      </c>
      <c r="R40" t="s">
        <v>60</v>
      </c>
      <c r="U40" t="s">
        <v>625</v>
      </c>
      <c r="V40" t="s">
        <v>544</v>
      </c>
      <c r="W40" s="2" t="s">
        <v>626</v>
      </c>
      <c r="AE40" t="s">
        <v>544</v>
      </c>
      <c r="AH40" t="s">
        <v>673</v>
      </c>
      <c r="AI40" t="s">
        <v>685</v>
      </c>
      <c r="AJ40">
        <v>9423728189</v>
      </c>
    </row>
    <row r="41" spans="1:36" x14ac:dyDescent="0.2">
      <c r="A41" t="s">
        <v>505</v>
      </c>
      <c r="B41" t="s">
        <v>37</v>
      </c>
      <c r="C41" t="s">
        <v>414</v>
      </c>
      <c r="D41" t="s">
        <v>422</v>
      </c>
      <c r="E41" t="s">
        <v>431</v>
      </c>
      <c r="G41" t="s">
        <v>506</v>
      </c>
      <c r="J41" t="s">
        <v>519</v>
      </c>
      <c r="L41">
        <v>81800</v>
      </c>
      <c r="M41" t="s">
        <v>42</v>
      </c>
      <c r="R41" t="s">
        <v>60</v>
      </c>
      <c r="U41" t="s">
        <v>627</v>
      </c>
      <c r="V41" t="s">
        <v>544</v>
      </c>
      <c r="W41" s="2" t="s">
        <v>628</v>
      </c>
      <c r="Y41" t="s">
        <v>552</v>
      </c>
      <c r="AE41" t="s">
        <v>679</v>
      </c>
      <c r="AH41" t="s">
        <v>674</v>
      </c>
      <c r="AI41" t="s">
        <v>428</v>
      </c>
      <c r="AJ41" t="s">
        <v>428</v>
      </c>
    </row>
    <row r="42" spans="1:36" x14ac:dyDescent="0.2">
      <c r="A42" t="s">
        <v>507</v>
      </c>
      <c r="B42" t="s">
        <v>37</v>
      </c>
      <c r="C42" t="s">
        <v>414</v>
      </c>
      <c r="D42" t="s">
        <v>430</v>
      </c>
      <c r="E42" t="s">
        <v>428</v>
      </c>
      <c r="G42" t="s">
        <v>508</v>
      </c>
      <c r="J42" t="s">
        <v>526</v>
      </c>
      <c r="L42">
        <v>81800</v>
      </c>
      <c r="M42" t="s">
        <v>42</v>
      </c>
      <c r="R42" t="s">
        <v>60</v>
      </c>
      <c r="U42" t="s">
        <v>629</v>
      </c>
      <c r="V42" t="s">
        <v>544</v>
      </c>
      <c r="W42" s="2" t="s">
        <v>630</v>
      </c>
      <c r="Y42" t="s">
        <v>552</v>
      </c>
      <c r="AE42" t="s">
        <v>679</v>
      </c>
      <c r="AH42" t="s">
        <v>675</v>
      </c>
      <c r="AI42" t="s">
        <v>428</v>
      </c>
      <c r="AJ42" t="s">
        <v>428</v>
      </c>
    </row>
    <row r="43" spans="1:36" x14ac:dyDescent="0.2">
      <c r="A43" t="s">
        <v>509</v>
      </c>
      <c r="B43" t="s">
        <v>37</v>
      </c>
      <c r="C43" t="s">
        <v>414</v>
      </c>
      <c r="D43" t="s">
        <v>443</v>
      </c>
      <c r="E43" t="s">
        <v>428</v>
      </c>
      <c r="J43" t="s">
        <v>519</v>
      </c>
      <c r="L43">
        <v>81800</v>
      </c>
      <c r="M43" t="s">
        <v>42</v>
      </c>
      <c r="R43" t="s">
        <v>60</v>
      </c>
      <c r="U43" t="s">
        <v>631</v>
      </c>
      <c r="V43" t="s">
        <v>544</v>
      </c>
      <c r="W43" s="2" t="s">
        <v>632</v>
      </c>
      <c r="Y43" t="s">
        <v>552</v>
      </c>
      <c r="AE43" t="s">
        <v>544</v>
      </c>
      <c r="AH43" t="s">
        <v>676</v>
      </c>
      <c r="AI43" t="s">
        <v>428</v>
      </c>
      <c r="AJ43" t="s">
        <v>428</v>
      </c>
    </row>
    <row r="44" spans="1:36" x14ac:dyDescent="0.2">
      <c r="A44" t="s">
        <v>510</v>
      </c>
      <c r="B44" t="s">
        <v>37</v>
      </c>
      <c r="C44" t="s">
        <v>414</v>
      </c>
      <c r="D44" t="s">
        <v>461</v>
      </c>
      <c r="E44" t="s">
        <v>428</v>
      </c>
      <c r="G44" t="s">
        <v>511</v>
      </c>
      <c r="J44" t="s">
        <v>538</v>
      </c>
      <c r="L44">
        <v>81800</v>
      </c>
      <c r="M44" t="s">
        <v>42</v>
      </c>
      <c r="R44" t="s">
        <v>60</v>
      </c>
      <c r="U44" t="s">
        <v>633</v>
      </c>
      <c r="V44" t="s">
        <v>544</v>
      </c>
      <c r="W44" s="2" t="s">
        <v>634</v>
      </c>
      <c r="Y44" t="s">
        <v>552</v>
      </c>
      <c r="AE44" t="s">
        <v>544</v>
      </c>
      <c r="AH44" t="s">
        <v>677</v>
      </c>
      <c r="AI44" t="s">
        <v>428</v>
      </c>
      <c r="AJ44" t="s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7DDC-3A8A-46A1-AB12-8E208CA337EB}">
  <dimension ref="A1:AJ2"/>
  <sheetViews>
    <sheetView workbookViewId="0">
      <selection activeCell="G34" sqref="G34"/>
    </sheetView>
  </sheetViews>
  <sheetFormatPr baseColWidth="10" defaultColWidth="8.83203125" defaultRowHeight="15" x14ac:dyDescent="0.2"/>
  <cols>
    <col min="1" max="1" width="14.6640625" customWidth="1"/>
    <col min="2" max="2" width="16.33203125" customWidth="1"/>
    <col min="3" max="3" width="19.33203125" customWidth="1"/>
    <col min="24" max="24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s="2" customFormat="1" x14ac:dyDescent="0.2">
      <c r="A2" s="2" t="s">
        <v>688</v>
      </c>
      <c r="B2" s="2" t="s">
        <v>37</v>
      </c>
      <c r="C2" s="2" t="s">
        <v>689</v>
      </c>
      <c r="D2" s="2" t="s">
        <v>690</v>
      </c>
      <c r="E2" s="2" t="s">
        <v>691</v>
      </c>
      <c r="F2" s="2" t="s">
        <v>692</v>
      </c>
      <c r="M2" s="2" t="s">
        <v>290</v>
      </c>
      <c r="R2" s="2" t="s">
        <v>693</v>
      </c>
      <c r="S2" s="2" t="s">
        <v>694</v>
      </c>
      <c r="V2" s="2" t="s">
        <v>51</v>
      </c>
      <c r="AE2" s="2" t="s">
        <v>696</v>
      </c>
      <c r="AH2" s="2" t="s">
        <v>695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630A-164D-4C1F-9908-1C700F896954}">
  <dimension ref="A1:B58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0.6640625" customWidth="1"/>
    <col min="2" max="2" width="32.5" customWidth="1"/>
  </cols>
  <sheetData>
    <row r="1" spans="1:2" x14ac:dyDescent="0.2">
      <c r="A1" s="1" t="s">
        <v>3</v>
      </c>
      <c r="B1" s="1" t="s">
        <v>32</v>
      </c>
    </row>
    <row r="2" spans="1:2" x14ac:dyDescent="0.2">
      <c r="A2" t="s">
        <v>128</v>
      </c>
      <c r="B2">
        <v>0</v>
      </c>
    </row>
    <row r="3" spans="1:2" x14ac:dyDescent="0.2">
      <c r="A3" t="s">
        <v>401</v>
      </c>
      <c r="B3">
        <v>0</v>
      </c>
    </row>
    <row r="4" spans="1:2" x14ac:dyDescent="0.2">
      <c r="A4" t="s">
        <v>69</v>
      </c>
      <c r="B4">
        <v>32</v>
      </c>
    </row>
    <row r="5" spans="1:2" x14ac:dyDescent="0.2">
      <c r="A5" t="s">
        <v>393</v>
      </c>
      <c r="B5">
        <v>0</v>
      </c>
    </row>
    <row r="6" spans="1:2" x14ac:dyDescent="0.2">
      <c r="A6" t="s">
        <v>250</v>
      </c>
      <c r="B6">
        <v>40</v>
      </c>
    </row>
    <row r="7" spans="1:2" x14ac:dyDescent="0.2">
      <c r="A7" t="s">
        <v>141</v>
      </c>
      <c r="B7">
        <v>0</v>
      </c>
    </row>
    <row r="8" spans="1:2" x14ac:dyDescent="0.2">
      <c r="A8" t="s">
        <v>346</v>
      </c>
      <c r="B8">
        <v>0</v>
      </c>
    </row>
    <row r="9" spans="1:2" x14ac:dyDescent="0.2">
      <c r="A9" t="s">
        <v>268</v>
      </c>
      <c r="B9">
        <v>19</v>
      </c>
    </row>
    <row r="10" spans="1:2" x14ac:dyDescent="0.2">
      <c r="A10" t="s">
        <v>320</v>
      </c>
      <c r="B10">
        <v>0</v>
      </c>
    </row>
    <row r="11" spans="1:2" x14ac:dyDescent="0.2">
      <c r="A11" t="s">
        <v>97</v>
      </c>
      <c r="B11">
        <v>0</v>
      </c>
    </row>
    <row r="12" spans="1:2" x14ac:dyDescent="0.2">
      <c r="A12" s="2" t="s">
        <v>97</v>
      </c>
      <c r="B12" s="4" t="s">
        <v>687</v>
      </c>
    </row>
    <row r="13" spans="1:2" x14ac:dyDescent="0.2">
      <c r="A13" t="s">
        <v>55</v>
      </c>
      <c r="B13">
        <v>22</v>
      </c>
    </row>
    <row r="14" spans="1:2" x14ac:dyDescent="0.2">
      <c r="A14" t="s">
        <v>224</v>
      </c>
      <c r="B14">
        <v>36</v>
      </c>
    </row>
    <row r="15" spans="1:2" x14ac:dyDescent="0.2">
      <c r="A15" t="s">
        <v>164</v>
      </c>
      <c r="B15">
        <v>0</v>
      </c>
    </row>
    <row r="16" spans="1:2" x14ac:dyDescent="0.2">
      <c r="A16" t="s">
        <v>387</v>
      </c>
      <c r="B16">
        <v>0</v>
      </c>
    </row>
    <row r="17" spans="1:2" x14ac:dyDescent="0.2">
      <c r="A17" t="s">
        <v>133</v>
      </c>
      <c r="B17">
        <v>0</v>
      </c>
    </row>
    <row r="18" spans="1:2" x14ac:dyDescent="0.2">
      <c r="A18" t="s">
        <v>108</v>
      </c>
      <c r="B18">
        <v>19</v>
      </c>
    </row>
    <row r="19" spans="1:2" x14ac:dyDescent="0.2">
      <c r="A19" t="s">
        <v>171</v>
      </c>
      <c r="B19">
        <v>0</v>
      </c>
    </row>
    <row r="20" spans="1:2" x14ac:dyDescent="0.2">
      <c r="A20" t="s">
        <v>210</v>
      </c>
      <c r="B20">
        <v>0</v>
      </c>
    </row>
    <row r="21" spans="1:2" x14ac:dyDescent="0.2">
      <c r="A21" t="s">
        <v>254</v>
      </c>
      <c r="B21">
        <v>0</v>
      </c>
    </row>
    <row r="22" spans="1:2" x14ac:dyDescent="0.2">
      <c r="A22" t="s">
        <v>82</v>
      </c>
      <c r="B22">
        <v>58</v>
      </c>
    </row>
    <row r="23" spans="1:2" x14ac:dyDescent="0.2">
      <c r="A23" t="s">
        <v>244</v>
      </c>
      <c r="B23">
        <v>24</v>
      </c>
    </row>
    <row r="24" spans="1:2" x14ac:dyDescent="0.2">
      <c r="A24" t="s">
        <v>95</v>
      </c>
      <c r="B24">
        <v>24</v>
      </c>
    </row>
    <row r="25" spans="1:2" x14ac:dyDescent="0.2">
      <c r="A25" t="s">
        <v>146</v>
      </c>
      <c r="B25">
        <v>24</v>
      </c>
    </row>
    <row r="26" spans="1:2" x14ac:dyDescent="0.2">
      <c r="A26" t="s">
        <v>111</v>
      </c>
      <c r="B26">
        <v>18</v>
      </c>
    </row>
    <row r="27" spans="1:2" x14ac:dyDescent="0.2">
      <c r="A27" t="s">
        <v>302</v>
      </c>
      <c r="B27">
        <v>18</v>
      </c>
    </row>
    <row r="28" spans="1:2" x14ac:dyDescent="0.2">
      <c r="A28" t="s">
        <v>152</v>
      </c>
      <c r="B28">
        <v>18</v>
      </c>
    </row>
    <row r="29" spans="1:2" x14ac:dyDescent="0.2">
      <c r="A29" t="s">
        <v>76</v>
      </c>
      <c r="B29">
        <v>0</v>
      </c>
    </row>
    <row r="30" spans="1:2" x14ac:dyDescent="0.2">
      <c r="A30" t="s">
        <v>232</v>
      </c>
      <c r="B30">
        <v>0</v>
      </c>
    </row>
    <row r="31" spans="1:2" x14ac:dyDescent="0.2">
      <c r="A31" t="s">
        <v>101</v>
      </c>
      <c r="B31">
        <v>0</v>
      </c>
    </row>
    <row r="32" spans="1:2" x14ac:dyDescent="0.2">
      <c r="A32" t="s">
        <v>113</v>
      </c>
      <c r="B32">
        <v>0</v>
      </c>
    </row>
    <row r="33" spans="1:2" x14ac:dyDescent="0.2">
      <c r="A33" t="s">
        <v>59</v>
      </c>
      <c r="B33">
        <v>21</v>
      </c>
    </row>
    <row r="34" spans="1:2" x14ac:dyDescent="0.2">
      <c r="A34" t="s">
        <v>161</v>
      </c>
      <c r="B34">
        <v>0</v>
      </c>
    </row>
    <row r="35" spans="1:2" x14ac:dyDescent="0.2">
      <c r="A35" t="s">
        <v>49</v>
      </c>
      <c r="B35">
        <v>0</v>
      </c>
    </row>
    <row r="36" spans="1:2" x14ac:dyDescent="0.2">
      <c r="A36" t="s">
        <v>293</v>
      </c>
      <c r="B36">
        <v>0</v>
      </c>
    </row>
    <row r="37" spans="1:2" x14ac:dyDescent="0.2">
      <c r="A37" t="s">
        <v>124</v>
      </c>
      <c r="B37">
        <v>0</v>
      </c>
    </row>
    <row r="38" spans="1:2" x14ac:dyDescent="0.2">
      <c r="A38" t="s">
        <v>258</v>
      </c>
      <c r="B38">
        <v>0</v>
      </c>
    </row>
    <row r="39" spans="1:2" x14ac:dyDescent="0.2">
      <c r="A39" t="s">
        <v>156</v>
      </c>
      <c r="B39">
        <v>0</v>
      </c>
    </row>
    <row r="40" spans="1:2" x14ac:dyDescent="0.2">
      <c r="A40" t="s">
        <v>216</v>
      </c>
      <c r="B40">
        <v>0</v>
      </c>
    </row>
    <row r="41" spans="1:2" x14ac:dyDescent="0.2">
      <c r="A41" t="s">
        <v>195</v>
      </c>
      <c r="B41">
        <v>29</v>
      </c>
    </row>
    <row r="42" spans="1:2" x14ac:dyDescent="0.2">
      <c r="A42" t="s">
        <v>372</v>
      </c>
      <c r="B42">
        <v>19</v>
      </c>
    </row>
    <row r="43" spans="1:2" x14ac:dyDescent="0.2">
      <c r="A43" t="s">
        <v>397</v>
      </c>
      <c r="B43">
        <v>0</v>
      </c>
    </row>
    <row r="44" spans="1:2" x14ac:dyDescent="0.2">
      <c r="A44" t="s">
        <v>184</v>
      </c>
      <c r="B44">
        <v>0</v>
      </c>
    </row>
    <row r="45" spans="1:2" x14ac:dyDescent="0.2">
      <c r="A45" t="s">
        <v>188</v>
      </c>
      <c r="B45">
        <v>0</v>
      </c>
    </row>
    <row r="46" spans="1:2" x14ac:dyDescent="0.2">
      <c r="A46" t="s">
        <v>339</v>
      </c>
      <c r="B46">
        <v>0</v>
      </c>
    </row>
    <row r="47" spans="1:2" x14ac:dyDescent="0.2">
      <c r="A47" t="s">
        <v>262</v>
      </c>
      <c r="B47">
        <v>0</v>
      </c>
    </row>
    <row r="48" spans="1:2" x14ac:dyDescent="0.2">
      <c r="A48" t="s">
        <v>198</v>
      </c>
      <c r="B48">
        <v>0</v>
      </c>
    </row>
    <row r="49" spans="1:2" x14ac:dyDescent="0.2">
      <c r="A49" t="s">
        <v>287</v>
      </c>
      <c r="B49">
        <v>0</v>
      </c>
    </row>
    <row r="50" spans="1:2" x14ac:dyDescent="0.2">
      <c r="A50" t="s">
        <v>46</v>
      </c>
      <c r="B50">
        <v>24</v>
      </c>
    </row>
    <row r="51" spans="1:2" x14ac:dyDescent="0.2">
      <c r="A51" t="s">
        <v>282</v>
      </c>
      <c r="B51">
        <v>19</v>
      </c>
    </row>
    <row r="52" spans="1:2" x14ac:dyDescent="0.2">
      <c r="A52" t="s">
        <v>150</v>
      </c>
      <c r="B52">
        <v>19</v>
      </c>
    </row>
    <row r="53" spans="1:2" x14ac:dyDescent="0.2">
      <c r="A53" t="s">
        <v>360</v>
      </c>
      <c r="B53">
        <v>0</v>
      </c>
    </row>
    <row r="54" spans="1:2" x14ac:dyDescent="0.2">
      <c r="A54" t="s">
        <v>271</v>
      </c>
      <c r="B54">
        <v>21</v>
      </c>
    </row>
    <row r="55" spans="1:2" x14ac:dyDescent="0.2">
      <c r="A55" t="s">
        <v>154</v>
      </c>
      <c r="B55">
        <v>21</v>
      </c>
    </row>
    <row r="56" spans="1:2" x14ac:dyDescent="0.2">
      <c r="A56" t="s">
        <v>39</v>
      </c>
      <c r="B56">
        <v>21</v>
      </c>
    </row>
    <row r="57" spans="1:2" x14ac:dyDescent="0.2">
      <c r="A57" t="s">
        <v>367</v>
      </c>
      <c r="B57">
        <v>19</v>
      </c>
    </row>
    <row r="58" spans="1:2" x14ac:dyDescent="0.2">
      <c r="B58">
        <v>0</v>
      </c>
    </row>
  </sheetData>
  <autoFilter ref="A1:B58" xr:uid="{B206630A-164D-4C1F-9908-1C700F896954}">
    <sortState xmlns:xlrd2="http://schemas.microsoft.com/office/spreadsheetml/2017/richdata2" ref="A2:B5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LJE </vt:lpstr>
      <vt:lpstr>LJ Fire</vt:lpstr>
      <vt:lpstr>LJD</vt:lpstr>
      <vt:lpstr>LJDT</vt:lpstr>
      <vt:lpstr>LJ Property</vt:lpstr>
      <vt:lpstr>LJ GreenTech</vt:lpstr>
      <vt:lpstr>LJ Malaysia</vt:lpstr>
      <vt:lpstr>PT Lingjack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Hwee Lin Er</dc:creator>
  <cp:lastModifiedBy>Alitec office1</cp:lastModifiedBy>
  <dcterms:created xsi:type="dcterms:W3CDTF">2025-11-25T04:13:03Z</dcterms:created>
  <dcterms:modified xsi:type="dcterms:W3CDTF">2026-01-22T12:39:50Z</dcterms:modified>
</cp:coreProperties>
</file>